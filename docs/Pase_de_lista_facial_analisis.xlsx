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Ventajas" sheetId="2" state="visible" r:id="rId4"/>
    <sheet name="Desventajas" sheetId="3" state="visible" r:id="rId5"/>
    <sheet name="Casos_de_uso" sheetId="4" state="visible" r:id="rId6"/>
    <sheet name="Comparativa" sheetId="5" state="visible" r:id="rId7"/>
    <sheet name="Datos_Mexico" sheetId="6" state="visible" r:id="rId8"/>
    <sheet name="Datos_Internacional" sheetId="7" state="visible" r:id="rId9"/>
    <sheet name="Calculadora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<sst xmlns="http://schemas.openxmlformats.org/spreadsheetml/2006/main" count="1086" uniqueCount="729">
  <si>
    <t xml:space="preserve">Pase de lista automático con escáner facial: ventajas, desventajas y evidencia</t>
  </si>
  <si>
    <t xml:space="preserve">Preparado el 06-oct-2026 con datos de INEGI/SEP, RNPDNO, CIDH, NIST, Banco Mundial, RAND y reguladores internacionales.</t>
  </si>
  <si>
    <t xml:space="preserve">Conclusiones clave</t>
  </si>
  <si>
    <t xml:space="preserve">1. La NECESIDAD está muy bien documentada: el abandono escolar subió en primaria, secundaria y media superior (2019-20 a 2023-24) y hay más de 18 mil NNA desaparecidos o no localizados.</t>
  </si>
  <si>
    <t xml:space="preserve">2. Seguridad escolar: el caso Rébsamen (26 fallecidos) y 2,224 escuelas dañadas en 2017 muestran el valor de un registro confiable de presentes.</t>
  </si>
  <si>
    <t xml:space="preserve">3. Lo que sí hay evidencia internacional: avisar rápido y dar seguimiento mejora asistencia (p. ej., 48.4% de alumnos regresó tras una carta), pero el monitoreo sin consecuencias no funcionó (India).</t>
  </si>
  <si>
    <t xml:space="preserve">4. Vacío importante: no encontramos estudios que midan que el reconocimiento facial sea MEJOR que RFID, QR o huella para pasar lista en escuelas. Esa diferencia es un argumento de diseño (anti-suplantación y rapidez).</t>
  </si>
  <si>
    <t xml:space="preserve">5. Mayor riesgo: biometría de menores. Suecia multó una escuela por un piloto de asistencia facial (22 alumnos); el Reino Unido y Francia también intervinieron. En México, el marco legal está en transición.</t>
  </si>
  <si>
    <t xml:space="preserve">6. Recomendación: presentar el proyecto como 'facial con salvaguardas' (opt-in, alternativa no biométrica, plantillas cifradas, validación del profesor, protocolo escalonado de alertas) y medir resultados con un piloto.</t>
  </si>
  <si>
    <t xml:space="preserve">Indicadores clave (enlazados a las hojas de datos)</t>
  </si>
  <si>
    <t xml:space="preserve">Indicador</t>
  </si>
  <si>
    <t xml:space="preserve">Valor</t>
  </si>
  <si>
    <t xml:space="preserve">Fuente / contexto</t>
  </si>
  <si>
    <t xml:space="preserve">Abandono escolar media superior 2023-24</t>
  </si>
  <si>
    <t xml:space="preserve">SEP/INEGI (S01, S02)</t>
  </si>
  <si>
    <t xml:space="preserve">Aumento del abandono en media superior vs 2019-20 (pp)</t>
  </si>
  <si>
    <t xml:space="preserve">Cálculo sobre S02</t>
  </si>
  <si>
    <t xml:space="preserve">Aumento relativo del abandono en primaria</t>
  </si>
  <si>
    <t xml:space="preserve">NNA desaparecidos o no localizados (8-jun-2026)</t>
  </si>
  <si>
    <t xml:space="preserve">RNPDNO vía S07</t>
  </si>
  <si>
    <t xml:space="preserve">Proporción: mujeres de 12 a 17 años</t>
  </si>
  <si>
    <t xml:space="preserve">Cálculo sobre S07</t>
  </si>
  <si>
    <t xml:space="preserve">Escuelas dañadas por los sismos de sep-2017</t>
  </si>
  <si>
    <t xml:space="preserve">SEP vía S12</t>
  </si>
  <si>
    <t xml:space="preserve">Fallecidos en el Colegio Rébsamen</t>
  </si>
  <si>
    <t xml:space="preserve">S14</t>
  </si>
  <si>
    <t xml:space="preserve">Exceso de ausentismo crónico EE.UU. vs prepandemia (pp)</t>
  </si>
  <si>
    <t xml:space="preserve">RAND (S20)</t>
  </si>
  <si>
    <t xml:space="preserve">Docentes ausentes, promedio 6 países</t>
  </si>
  <si>
    <t xml:space="preserve">Banco Mundial (S24)</t>
  </si>
  <si>
    <t xml:space="preserve">Multa Suecia por asistencia facial (SEK)</t>
  </si>
  <si>
    <t xml:space="preserve">IMY (S29)</t>
  </si>
  <si>
    <t xml:space="preserve">Datos para gráfico: abandono por nivel</t>
  </si>
  <si>
    <t xml:space="preserve">Nivel</t>
  </si>
  <si>
    <t xml:space="preserve">2019-20</t>
  </si>
  <si>
    <t xml:space="preserve">2023-24</t>
  </si>
  <si>
    <t xml:space="preserve">Primaria</t>
  </si>
  <si>
    <t xml:space="preserve">Secundaria</t>
  </si>
  <si>
    <t xml:space="preserve">Media superior</t>
  </si>
  <si>
    <t xml:space="preserve">Guía de colores: azul = dato capturado; negro = fórmula; verde = enlace a otra hoja; amarillo = supuesto editable.</t>
  </si>
  <si>
    <t xml:space="preserve">Aviso: este documento es informativo y no constituye asesoría legal. Verifique la normativa vigente de protección de datos con un abogado antes de implementar.</t>
  </si>
  <si>
    <t xml:space="preserve">Ventajas de su sistema, con datos que las respaldan</t>
  </si>
  <si>
    <t xml:space="preserve">Se separa 'respalda la NECESIDAD' (datos reales) de 'respalda la EFICACIA del sistema' (lo que realmente demuestra que su solución funciona).</t>
  </si>
  <si>
    <t xml:space="preserve">#</t>
  </si>
  <si>
    <t xml:space="preserve">Ventaja (su redacción)</t>
  </si>
  <si>
    <t xml:space="preserve">Dato(s) de respaldo</t>
  </si>
  <si>
    <t xml:space="preserve">Respalda la NECESIDAD</t>
  </si>
  <si>
    <t xml:space="preserve">Respalda la EFICACIA del sistema</t>
  </si>
  <si>
    <t xml:space="preserve">Diferencia frente a otros sistemas (papel, RFID/QR, huella)</t>
  </si>
  <si>
    <t xml:space="preserve">Indicador para medir su éxito</t>
  </si>
  <si>
    <t xml:space="preserve">Fuentes</t>
  </si>
  <si>
    <t xml:space="preserve">Advertencia / límite de la evidencia</t>
  </si>
  <si>
    <t xml:space="preserve">Constancia de entrada tanto del alumnado como profesorado</t>
  </si>
  <si>
    <t xml:space="preserve">Ausentismo docente promedio de 19% en 6 países (visitas sorpresa, Banco Mundial); 25% en India. En EE.UU. 22.6% del alumnado tiene ausentismo crónico (2024-25), 7 pp sobre la prepandemia. En México la SEP no actualiza el abandono desde 2023-24, por lo que no hay registro oficial reciente a nivel plantel.</t>
  </si>
  <si>
    <t xml:space="preserve">Alta</t>
  </si>
  <si>
    <t xml:space="preserve">Parcial</t>
  </si>
  <si>
    <t xml:space="preserve">Frente a papel: dato con hora exacta y no editable. Frente a RFID/QR: la persona es la credencial, no se presta. Frente a huella: sin contacto físico y más rápido en filas.</t>
  </si>
  <si>
    <t xml:space="preserve">% de puntualidad; días-alumno ausentes; horas-docente efectivas vs programadas; % de registros corregidos manualmente.</t>
  </si>
  <si>
    <t xml:space="preserve">S24, S25, S19, S20, S02</t>
  </si>
  <si>
    <t xml:space="preserve">El monitoreo solo funcionó en India cuando había incentivos/consecuencias (S23). No existe estudio que compare facial vs RFID en escuelas: la diferencia es un argumento de diseño, no un resultado medido.</t>
  </si>
  <si>
    <t xml:space="preserve">En caso de incidentes tener constancia de los individuos presentes en las instalaciones</t>
  </si>
  <si>
    <t xml:space="preserve">Rébsamen (2017): 26 fallecidos (19 niños, 7 adultos); en las primeras horas las cifras oficiales variaron de 21 a 37. Más de 2,224 escuelas dañadas y 31 escuelas con permiso revocado en CDMX por no garantizar seguridad.</t>
  </si>
  <si>
    <t xml:space="preserve">El papel se pierde o queda dentro del edificio colapsado; un registro en servidor externo con hora de entrada sobrevive al incidente.</t>
  </si>
  <si>
    <t xml:space="preserve">Tiempo para producir la lista de presentes (meta &lt; 2 min); % de coincidencia con conteo físico en simulacros.</t>
  </si>
  <si>
    <t xml:space="preserve">S12, S13, S14</t>
  </si>
  <si>
    <t xml:space="preserve">Registra la ENTRADA, no la ubicación actual: alguien pudo salir antes. Complementar con conteo en punto de reunión.</t>
  </si>
  <si>
    <t xml:space="preserve">Notificación de entrada y salida del alumnado para el profesor en turno</t>
  </si>
  <si>
    <t xml:space="preserve">El ausentismo crónico se duplica de 5.º grado (14.2%) a 12.º grado (32.1%). Distritos con estrategias proactivas: 20.9% vs 23.5% nacional. 48.4% de los alumnos regresó tras una sola carta de aviso. En México la deserción en media superior es 11.3% (2023-24) y subió en los tres niveles desde 2019-20.</t>
  </si>
  <si>
    <t xml:space="preserve">Media</t>
  </si>
  <si>
    <t xml:space="preserve">Frente al pase manual: el profesor recibe el dato sin gastar tiempo de clase (ver hoja Calculadora). Frente a RFID/QR: detecta presencia real de la persona.</t>
  </si>
  <si>
    <t xml:space="preserve">Tiempo de pase de lista; % de alumnos con 3+ faltas detectados en &lt; 48 h; tasa de abandono por grupo.</t>
  </si>
  <si>
    <t xml:space="preserve">S22, S02, S01</t>
  </si>
  <si>
    <t xml:space="preserve">El dato de 48.4% proviene de un proveedor comercial (S22) y de correlación, no de experimento. Útil como orden de magnitud.</t>
  </si>
  <si>
    <t xml:space="preserve">Proporciona seguridad en caso de algún desastre natural</t>
  </si>
  <si>
    <t xml:space="preserve">Sismo 2017: 14 millones de estudiantes sin clases; 1,901 de 2,800 planteles básicos de CDMX con daños (68%). 18,868 alumnos (1.6% de CDMX) seguían en aulas provisionales un año después.</t>
  </si>
  <si>
    <t xml:space="preserve">Parcial / No demostrada</t>
  </si>
  <si>
    <t xml:space="preserve">Un registro digital reemplaza listas impresas que no se pueden consultar con el edificio inaccesible; permite a protección civil saber cuántos y quiénes pueden estar adentro.</t>
  </si>
  <si>
    <t xml:space="preserve">% de exactitud del listado vs conteo manual en simulacro; tiempo de entrega del listado a protección civil.</t>
  </si>
  <si>
    <t xml:space="preserve">S12, S13</t>
  </si>
  <si>
    <t xml:space="preserve">No hay evidencia publicada de que un sistema automático de asistencia reduzca víctimas. Debe tener modo offline y respaldo sin energía/Internet.</t>
  </si>
  <si>
    <t xml:space="preserve">Notificación inmediata en caso de falta total de algún alumno para avisar a tutores y autoridades (caso de desaparición)</t>
  </si>
  <si>
    <t xml:space="preserve">18,104 NNA desaparecidos o no localizados (8-jun-2026); 6,685 son mujeres de 12-17 años (36.9%). Más de 5 NNA desaparecen cada día. 28% de los niños desaparecidos en 2026 seguían sin localizar a abril. Las adolescentes mujeres tienen más de 90% de localización, lo que sugiere que actuar rápido es viable.</t>
  </si>
  <si>
    <t xml:space="preserve">Frente al pase manual: reduce el tiempo entre la inasistencia y el aviso al tutor, que depende del profesor y de la hora. Frente a RFID/QR: confirma la persona, no la tarjeta.</t>
  </si>
  <si>
    <t xml:space="preserve">Minutos entre la hora de entrada esperada y el aviso al tutor; % de avisos que resultan falsas alarmas.</t>
  </si>
  <si>
    <t xml:space="preserve">S07, S08, S06, S10</t>
  </si>
  <si>
    <t xml:space="preserve">Una inasistencia casi nunca es una desaparición: requiere protocolo escalonado (llamada, verificación, escalamiento). Evita alarmas falsas masivas. No hay estudio que mida cuántos casos evitaría.</t>
  </si>
  <si>
    <t xml:space="preserve">6*</t>
  </si>
  <si>
    <t xml:space="preserve">Ahorro de tiempo docente en el pase de lista (ventaja adicional sugerida)</t>
  </si>
  <si>
    <t xml:space="preserve">Con supuestos editables (hoja Calculadora): 20 grupos x 6 clases x 4 min x 185 días = miles de horas por año por plantel.</t>
  </si>
  <si>
    <t xml:space="preserve">Es la ventaja más fácil de medir y la que más rápido se percibe.</t>
  </si>
  <si>
    <t xml:space="preserve">Minutos de pase de lista por clase antes vs después.</t>
  </si>
  <si>
    <t xml:space="preserve">Calculadora</t>
  </si>
  <si>
    <t xml:space="preserve">Depende de los supuestos que usted capture: reemplácelos por mediciones reales de su escuela.</t>
  </si>
  <si>
    <t xml:space="preserve">7*</t>
  </si>
  <si>
    <t xml:space="preserve">Alerta temprana de abandono escolar (ventaja adicional sugerida)</t>
  </si>
  <si>
    <t xml:space="preserve">Abandono 2019-20 vs 2023-24: primaria 0.4% a 0.6% (+50%); secundaria 2.7% a 3.7% (+37%); media superior 10.3% a 11.3%.</t>
  </si>
  <si>
    <t xml:space="preserve">Convierte el dato de asistencia en un indicador acumulado por alumno, algo que ni el papel ni la tarjeta producen con facilidad.</t>
  </si>
  <si>
    <t xml:space="preserve">% de alumnos en riesgo identificados antes de reprobar o desertar; reincorporaciones.</t>
  </si>
  <si>
    <t xml:space="preserve">S02, S03</t>
  </si>
  <si>
    <t xml:space="preserve">Requiere que la escuela actúe sobre la alerta (tutoría, visita a familias).</t>
  </si>
  <si>
    <t xml:space="preserve">8*</t>
  </si>
  <si>
    <t xml:space="preserve">Auditoría de horas docentes y puntualidad del profesorado (ventaja adicional sugerida)</t>
  </si>
  <si>
    <t xml:space="preserve">19% de ausencia docente promedio en 6 países; 35% de tiempo perdido en línea base en India (Seva Mandir).</t>
  </si>
  <si>
    <t xml:space="preserve">Evita 'firmas por favor' y registros inflados; la validación biométrica es más difícil de falsificar.</t>
  </si>
  <si>
    <t xml:space="preserve">% de clases iniciadas a tiempo; horas efectivas vs plan.</t>
  </si>
  <si>
    <t xml:space="preserve">S24, S23</t>
  </si>
  <si>
    <t xml:space="preserve">Tema laboral sensible: defina por escrito el uso del dato con sindicatos/dirección.</t>
  </si>
  <si>
    <t xml:space="preserve">* Ventajas adicionales propuestas; las cinco primeras son las de su lista original.</t>
  </si>
  <si>
    <t xml:space="preserve">Lectura honesta: los datos prueban con claridad que el problema es real y grave. Lo que NO existe (en las fuentes consultadas) es un estudio que demuestre que el reconocimiento facial supera a RFID/QR/huella para tomar asistencia escolar. Presentarlo así ante autoridades o inversionistas lo hará más creíble.</t>
  </si>
  <si>
    <t xml:space="preserve">Desventajas y riesgos, con datos y mitigaciones</t>
  </si>
  <si>
    <t xml:space="preserve">Desventaja / riesgo</t>
  </si>
  <si>
    <t xml:space="preserve">Dato o precedente</t>
  </si>
  <si>
    <t xml:space="preserve">Gravedad</t>
  </si>
  <si>
    <t xml:space="preserve">Mitigación recomendada</t>
  </si>
  <si>
    <t xml:space="preserve">Biometría de menores: dato personal sensible y alto riesgo legal</t>
  </si>
  <si>
    <t xml:space="preserve">Suecia multó con SEK 200,000 (~€20,000) a una escuela por usar reconocimiento facial para asistencia (22 alumnos, 3 semanas). Reino Unido: reprimenda del ICO en 2024. Francia: la CNIL se opuso a pilotos en liceos.</t>
  </si>
  <si>
    <t xml:space="preserve">Evaluación de impacto en protección de datos antes de operar; minimizar datos; aviso de privacidad claro; consulta a autoridad y a padres/alumnos.</t>
  </si>
  <si>
    <t xml:space="preserve">S29, S31, S32</t>
  </si>
  <si>
    <t xml:space="preserve">El consentimiento puede no ser válido por desequilibrio de poder</t>
  </si>
  <si>
    <t xml:space="preserve">La autoridad sueca consideró inválido el consentimiento aunque lo firmaron alumnos y padres: el alumno depende de la escuela.</t>
  </si>
  <si>
    <t xml:space="preserve">Ofrecer alternativa NO biométrica (tarjeta/QR) con el mismo derecho; consentimiento libre, específico y revocable; opt-in, no opt-out.</t>
  </si>
  <si>
    <t xml:space="preserve">S29, S30</t>
  </si>
  <si>
    <t xml:space="preserve">Marco legal mexicano en transición</t>
  </si>
  <si>
    <t xml:space="preserve">Nueva LFPDPPP en vigor desde 21-mar-2025 (aplica a escuelas privadas); el INAI desapareció y la autoridad es ahora la Secretaría Anticorrupción y Buen Gobierno. Escuelas públicas: Ley General de Protección de Datos Personales en Posesión de Sujetos Obligados. Existe una INICIATIVA para tratar expresamente como sensibles los datos biométricos (no verificada como vigente).</t>
  </si>
  <si>
    <t xml:space="preserve">Asesoría jurídica antes de implementar; aviso de privacidad integral; documentar finalidad, retención y transferencias.</t>
  </si>
  <si>
    <t xml:space="preserve">S15, S16, S17</t>
  </si>
  <si>
    <t xml:space="preserve">Falsos positivos/negativos mayores en niños</t>
  </si>
  <si>
    <t xml:space="preserve">NIST: mayoría de algoritmos con diferenciales demográficos; mayor falso positivo en niños y ancianos. Muchos algoritmos logran 98-99% de exactitud en todos los grupos, pero los peores muestran diferenciales &gt;100x.</t>
  </si>
  <si>
    <t xml:space="preserve">Exigir al proveedor métricas con población infantil/adolescente mexicana; umbral conservador; revisión humana (su diseño ya incluye validación del profesor).</t>
  </si>
  <si>
    <t xml:space="preserve">S27, S28</t>
  </si>
  <si>
    <t xml:space="preserve">Fuga de datos biométricos es irreversible</t>
  </si>
  <si>
    <t xml:space="preserve">Principio general de ciberseguridad: una contraseña se cambia, un rostro no. (Sin cifra específica en esta compilación.)</t>
  </si>
  <si>
    <t xml:space="preserve">Guardar plantillas matemáticas cifradas (no fotos), idealmente en dispositivo local; borrado al egresar; acceso por roles y bitácora.</t>
  </si>
  <si>
    <t xml:space="preserve">Principio general</t>
  </si>
  <si>
    <t xml:space="preserve">Los falsos positivos de desaparición pueden saturar a familias y autoridades</t>
  </si>
  <si>
    <t xml:space="preserve">Una inasistencia casi nunca es una desaparición. Sin protocolo, el aviso inmediato puede generar fatiga de alertas. (Sin cifra publicada en las fuentes consultadas.)</t>
  </si>
  <si>
    <t xml:space="preserve">Protocolo escalonado: aviso interno, llamada a tutor, segunda verificación, y solo entonces escalar a autoridades.</t>
  </si>
  <si>
    <t xml:space="preserve">Criterio de diseño</t>
  </si>
  <si>
    <t xml:space="preserve">La tecnología sola no mejora la asistencia</t>
  </si>
  <si>
    <t xml:space="preserve">En India el monitoreo de docentes no funcionó sin incentivos o sanciones; el efecto de monitores biométricos en centros de salud fue limitado y se debilitó.</t>
  </si>
  <si>
    <t xml:space="preserve">Definir qué hace la escuela con el dato: tutoría, apoyo a familias, reconocimiento a la puntualidad.</t>
  </si>
  <si>
    <t xml:space="preserve">S23</t>
  </si>
  <si>
    <t xml:space="preserve">Registra entradas, no la ubicación en una emergencia; depende de energía y conectividad</t>
  </si>
  <si>
    <t xml:space="preserve">Un alumno que salió antes figura 'presente' hasta que se registra la salida. En un desastre puede fallar la red eléctrica o Internet.</t>
  </si>
  <si>
    <t xml:space="preserve">Modo offline con sincronización; respaldo impreso/exportable; conteo físico en punto de reunión; registrar también salidas.</t>
  </si>
  <si>
    <t xml:space="preserve">Falsos negativos por calidad de imagen (iluminación, crecimiento, lesiones, accesorios)</t>
  </si>
  <si>
    <t xml:space="preserve">NIST: mejor calidad de imagen reduce falsos negativos y diferenciales.</t>
  </si>
  <si>
    <t xml:space="preserve">Re-enrolamiento periódico para menores en crecimiento; estación con buena luz; flujo manual de excepciones.</t>
  </si>
  <si>
    <t xml:space="preserve">S27</t>
  </si>
  <si>
    <t xml:space="preserve">Costo, infraestructura y brecha entre escuelas</t>
  </si>
  <si>
    <t xml:space="preserve">Dato pendiente: no se incluyó cifra de costo ni de conectividad escolar. Recomendamos consultar INEGI (ENDUTIH) y el Censo de Escuelas para dimensionar.</t>
  </si>
  <si>
    <t xml:space="preserve">Piloto en un plantel con métricas de costo por alumno; versión ligera sin nube para planteles con poca conectividad.</t>
  </si>
  <si>
    <t xml:space="preserve">Pendiente</t>
  </si>
  <si>
    <t xml:space="preserve">Rechazo social y efecto de vigilancia</t>
  </si>
  <si>
    <t xml:space="preserve">La CNIL señaló que el control facial intensifica la sensación de vigilancia en menores.</t>
  </si>
  <si>
    <t xml:space="preserve">Comunicación transparente, comité con padres, uso limitado a asistencia (no disciplina ni analítica de comportamiento).</t>
  </si>
  <si>
    <t xml:space="preserve">S32</t>
  </si>
  <si>
    <t xml:space="preserve">Falta de línea base oficial en México para medir impacto</t>
  </si>
  <si>
    <t xml:space="preserve">La SEP no ha actualizado el SIGED con abandono desde el ciclo 2023-24.</t>
  </si>
  <si>
    <t xml:space="preserve">Baja</t>
  </si>
  <si>
    <t xml:space="preserve">Registrar su propia línea base 4-6 semanas antes de activar el sistema.</t>
  </si>
  <si>
    <t xml:space="preserve">S02</t>
  </si>
  <si>
    <t xml:space="preserve">Casos en que un pase de lista confiable es indispensable</t>
  </si>
  <si>
    <t xml:space="preserve">Caso de uso</t>
  </si>
  <si>
    <t xml:space="preserve">Qué aporta el pase de lista</t>
  </si>
  <si>
    <t xml:space="preserve">Dato de contexto</t>
  </si>
  <si>
    <t xml:space="preserve">Criticidad</t>
  </si>
  <si>
    <t xml:space="preserve">Condición para que funcione</t>
  </si>
  <si>
    <t xml:space="preserve">Sismo y evacuación</t>
  </si>
  <si>
    <t xml:space="preserve">Lista inmediata de quién entró y quién debería estar en el punto de reunión.</t>
  </si>
  <si>
    <t xml:space="preserve">Rébsamen 2017: 26 fallecidos; 2,224 escuelas dañadas; 14 millones de alumnos sin clases.</t>
  </si>
  <si>
    <t xml:space="preserve">Crítica</t>
  </si>
  <si>
    <t xml:space="preserve">Modo offline; conteo físico en punto de reunión; simulacros periódicos.</t>
  </si>
  <si>
    <t xml:space="preserve">Incendio o fuga de gas</t>
  </si>
  <si>
    <t xml:space="preserve">Permite al personal de emergencia saber cuántas personas pueden seguir en el edificio.</t>
  </si>
  <si>
    <t xml:space="preserve">Principio operativo (sin estadística específica en esta compilación).</t>
  </si>
  <si>
    <t xml:space="preserve">Listado accesible desde un dispositivo fuera del edificio.</t>
  </si>
  <si>
    <t xml:space="preserve">Ausencia total de un menor (posible desaparición)</t>
  </si>
  <si>
    <t xml:space="preserve">Detecta la no llegada y activa el aviso al tutor en minutos.</t>
  </si>
  <si>
    <t xml:space="preserve">18,104 NNA no localizados; más de 5 NNA desaparecen cada día; las adolescentes de 12-17 son el grupo más afectado.</t>
  </si>
  <si>
    <t xml:space="preserve">Protocolo de verificación escalonado y convenio con autoridades.</t>
  </si>
  <si>
    <t xml:space="preserve">S07, S08, S10</t>
  </si>
  <si>
    <t xml:space="preserve">Amenaza armada / encierro (lockdown)</t>
  </si>
  <si>
    <t xml:space="preserve">Conocer quién está dentro y quién no, para el equipo de respuesta.</t>
  </si>
  <si>
    <t xml:space="preserve">Integración con protocolo de seguridad escolar.</t>
  </si>
  <si>
    <t xml:space="preserve">Alerta temprana de abandono escolar</t>
  </si>
  <si>
    <t xml:space="preserve">Patrones de faltas por alumno para intervenir antes de la deserción.</t>
  </si>
  <si>
    <t xml:space="preserve">Abandono en media superior: 11.3% (2023-24); aumentó en primaria, secundaria y media superior desde 2019-20. Una sola carta recuperó al 48.4% de alumnos (EE.UU.).</t>
  </si>
  <si>
    <t xml:space="preserve">Equipo de tutoría que actúe sobre las alertas.</t>
  </si>
  <si>
    <t xml:space="preserve">S02, S22</t>
  </si>
  <si>
    <t xml:space="preserve">Control de puntualidad y horas docentes</t>
  </si>
  <si>
    <t xml:space="preserve">Registro objetivo de entrada del profesorado.</t>
  </si>
  <si>
    <t xml:space="preserve">Docentes ausentes: 19% en 6 países; 25% en India; mejoras solo con consecuencias.</t>
  </si>
  <si>
    <t xml:space="preserve">Política laboral clara y acordada.</t>
  </si>
  <si>
    <t xml:space="preserve">Accidentes o lesiones dentro del plantel</t>
  </si>
  <si>
    <t xml:space="preserve">Confirmar quién estaba presente y en qué horario, para atención y seguro escolar.</t>
  </si>
  <si>
    <t xml:space="preserve">Principio operativo.</t>
  </si>
  <si>
    <t xml:space="preserve">Retención limitada de registros.</t>
  </si>
  <si>
    <t xml:space="preserve">Brotes de enfermedades (rastreo de contactos)</t>
  </si>
  <si>
    <t xml:space="preserve">Identificar quién coincidió en el plantel.</t>
  </si>
  <si>
    <t xml:space="preserve">Principio operativo; evaluar con salud pública.</t>
  </si>
  <si>
    <t xml:space="preserve">Uso excepcional y justificado de los datos.</t>
  </si>
  <si>
    <t xml:space="preserve">Aclaración de responsabilidades legales</t>
  </si>
  <si>
    <t xml:space="preserve">Evidencia objetiva de presencia y horarios ante procesos legales o de protección civil.</t>
  </si>
  <si>
    <t xml:space="preserve">En CDMX se revocó el permiso a 31 escuelas por no garantizar seguridad ante emergencias; el caso Rébsamen derivó en procesos judiciales y disculpa pública.</t>
  </si>
  <si>
    <t xml:space="preserve">Bitácora inalterable y cadena de custodia.</t>
  </si>
  <si>
    <t xml:space="preserve">Control de salida y entrega a tutores autorizados (extensión)</t>
  </si>
  <si>
    <t xml:space="preserve">Verificar que el menor sale con una persona autorizada.</t>
  </si>
  <si>
    <t xml:space="preserve">Extensión propuesta; implica más datos biométricos (los del tutor): evaluar con asesoría jurídica.</t>
  </si>
  <si>
    <t xml:space="preserve">Lista de autorizados y consentimiento de cada tutor.</t>
  </si>
  <si>
    <t xml:space="preserve">Comparativa de sistemas de pase de lista (evaluación cualitativa)</t>
  </si>
  <si>
    <t xml:space="preserve">ATENCIÓN: los puntajes (1-5) son juicio del analista, NO provienen de INEGI ni de un estudio. Edite las celdas amarillas (pesos y puntajes) con su criterio o datos de proveedor.</t>
  </si>
  <si>
    <t xml:space="preserve">Criterio (5 = mejor)</t>
  </si>
  <si>
    <t xml:space="preserve">Peso</t>
  </si>
  <si>
    <t xml:space="preserve">Lista en papel</t>
  </si>
  <si>
    <t xml:space="preserve">Lista manual en app</t>
  </si>
  <si>
    <t xml:space="preserve">Tarjeta RFID/NFC</t>
  </si>
  <si>
    <t xml:space="preserve">Código QR</t>
  </si>
  <si>
    <t xml:space="preserve">Huella dactilar</t>
  </si>
  <si>
    <t xml:space="preserve">Facial (como está)</t>
  </si>
  <si>
    <t xml:space="preserve">Facial con salvaguardas*</t>
  </si>
  <si>
    <t xml:space="preserve">Anti-suplantación (nadie registra por otro)</t>
  </si>
  <si>
    <t xml:space="preserve">Rapidez / baja fricción en la entrada</t>
  </si>
  <si>
    <t xml:space="preserve">Costo bajo</t>
  </si>
  <si>
    <t xml:space="preserve">Privacidad / bajo riesgo legal</t>
  </si>
  <si>
    <t xml:space="preserve">Precisión del registro</t>
  </si>
  <si>
    <t xml:space="preserve">Utilidad en emergencia (registro automático de presentes)</t>
  </si>
  <si>
    <t xml:space="preserve">Robustez sin energía / Internet</t>
  </si>
  <si>
    <t xml:space="preserve">Suma de pesos (debe ser 100%)</t>
  </si>
  <si>
    <t xml:space="preserve">Puntaje ponderado (máx. 5.0)</t>
  </si>
  <si>
    <t xml:space="preserve">Lugar (1 = mejor)</t>
  </si>
  <si>
    <t xml:space="preserve">* 'Facial con salvaguardas' = opt-in con alternativa no biométrica, plantilla cifrada local, evaluación de impacto, validación humana y retención limitada.</t>
  </si>
  <si>
    <t xml:space="preserve">Lectura: con los pesos por defecto, el facial 'tal cual' NO gana: su ventaja en anti-suplantación y rapidez se compensa con privacidad y costo. Con salvaguardas sube de lugar. Es el argumento más sólido para su proyecto.</t>
  </si>
  <si>
    <t xml:space="preserve">Cambie los pesos según su prioridad (p. ej., si su escuela prioriza seguridad ante desapariciones, aumente 'Utilidad en emergencia').</t>
  </si>
  <si>
    <t xml:space="preserve">No existe en las fuentes consultadas un estudio comparativo de estos sistemas en escuelas; esta tabla estructura la decisión, no la sustituye por datos.</t>
  </si>
  <si>
    <t xml:space="preserve">Datos de México (INEGI / SEP / RNPDNO / CIDH)</t>
  </si>
  <si>
    <t xml:space="preserve">Valores en azul = dato capturado de la fuente. Valores en negro = fórmula calculada. Consulta: 06-oct-2026.</t>
  </si>
  <si>
    <t xml:space="preserve">ID</t>
  </si>
  <si>
    <t xml:space="preserve">Unidad</t>
  </si>
  <si>
    <t xml:space="preserve">Periodo / corte</t>
  </si>
  <si>
    <t xml:space="preserve">Fuente</t>
  </si>
  <si>
    <t xml:space="preserve">Ventaja relacionada</t>
  </si>
  <si>
    <t xml:space="preserve">Nota / advertencia</t>
  </si>
  <si>
    <t xml:space="preserve">A. Educación: matrícula y abandono escolar (justifica ventajas 1 y 3 + alerta temprana)</t>
  </si>
  <si>
    <t xml:space="preserve">M01</t>
  </si>
  <si>
    <t xml:space="preserve">Matrícula escolar total (todos los niveles)</t>
  </si>
  <si>
    <t xml:space="preserve">alumnos</t>
  </si>
  <si>
    <t xml:space="preserve">Ciclo 2023-24</t>
  </si>
  <si>
    <t xml:space="preserve">S04</t>
  </si>
  <si>
    <t xml:space="preserve">1, 3</t>
  </si>
  <si>
    <t xml:space="preserve">Universo que debería registrarse. INEGI/SEP.</t>
  </si>
  <si>
    <t xml:space="preserve">M-P0</t>
  </si>
  <si>
    <t xml:space="preserve">Tasa de abandono escolar - primaria</t>
  </si>
  <si>
    <t xml:space="preserve">% de matrícula</t>
  </si>
  <si>
    <t xml:space="preserve">Ciclo 2019-20</t>
  </si>
  <si>
    <t xml:space="preserve">3</t>
  </si>
  <si>
    <t xml:space="preserve">Cifra SEP/SIGED reportada por Expansión.</t>
  </si>
  <si>
    <t xml:space="preserve">M-P1</t>
  </si>
  <si>
    <t xml:space="preserve">Último ciclo publicado; la SEP no ha actualizado el SIGED desde entonces.</t>
  </si>
  <si>
    <t xml:space="preserve">M-P2</t>
  </si>
  <si>
    <t xml:space="preserve">Variación absoluta - primaria</t>
  </si>
  <si>
    <t xml:space="preserve">pp</t>
  </si>
  <si>
    <t xml:space="preserve">2019-20 a 2023-24</t>
  </si>
  <si>
    <t xml:space="preserve">Cálculo</t>
  </si>
  <si>
    <t xml:space="preserve">Puntos porcentuales.</t>
  </si>
  <si>
    <t xml:space="preserve">M-P3</t>
  </si>
  <si>
    <t xml:space="preserve">Variación relativa - primaria</t>
  </si>
  <si>
    <t xml:space="preserve">%</t>
  </si>
  <si>
    <t xml:space="preserve">Crecimiento relativo del abandono.</t>
  </si>
  <si>
    <t xml:space="preserve">M-S0</t>
  </si>
  <si>
    <t xml:space="preserve">Tasa de abandono escolar - secundaria</t>
  </si>
  <si>
    <t xml:space="preserve">M-S1</t>
  </si>
  <si>
    <t xml:space="preserve">M-S2</t>
  </si>
  <si>
    <t xml:space="preserve">Variación absoluta - secundaria</t>
  </si>
  <si>
    <t xml:space="preserve">M-S3</t>
  </si>
  <si>
    <t xml:space="preserve">Variación relativa - secundaria</t>
  </si>
  <si>
    <t xml:space="preserve">M-MS0</t>
  </si>
  <si>
    <t xml:space="preserve">Tasa de abandono escolar - media superior</t>
  </si>
  <si>
    <t xml:space="preserve">M-MS1</t>
  </si>
  <si>
    <t xml:space="preserve">M-MS2</t>
  </si>
  <si>
    <t xml:space="preserve">Variación absoluta - media superior</t>
  </si>
  <si>
    <t xml:space="preserve">M-MS3</t>
  </si>
  <si>
    <t xml:space="preserve">Variación relativa - media superior</t>
  </si>
  <si>
    <t xml:space="preserve">M-NOTA</t>
  </si>
  <si>
    <t xml:space="preserve">Discrepancia entre fuentes (nota de calidad de datos)</t>
  </si>
  <si>
    <t xml:space="preserve">Ver nota</t>
  </si>
  <si>
    <t xml:space="preserve">texto</t>
  </si>
  <si>
    <t xml:space="preserve">S33, S01</t>
  </si>
  <si>
    <t xml:space="preserve">S33 reporta 10.8% (media superior) y 2.9% (secundaria) como cifras INEGI; S02 reporta 11.3% y 3.7%. Verifique con S01 antes de publicar.</t>
  </si>
  <si>
    <t xml:space="preserve">M-SEP</t>
  </si>
  <si>
    <t xml:space="preserve">Disponibilidad de cifras oficiales actualizadas de abandono</t>
  </si>
  <si>
    <t xml:space="preserve">Sin actualizar</t>
  </si>
  <si>
    <t xml:space="preserve">desde 2023-24</t>
  </si>
  <si>
    <t xml:space="preserve">Oportunidad: un registro propio de asistencia genera datos que hoy no existen a nivel plantel.</t>
  </si>
  <si>
    <t xml:space="preserve">B. Niñas, niños y adolescentes desaparecidos o no localizados (justifica ventaja 5)</t>
  </si>
  <si>
    <t xml:space="preserve">M10</t>
  </si>
  <si>
    <t xml:space="preserve">Registros acumulados de personas desaparecidas (RNPDNO)</t>
  </si>
  <si>
    <t xml:space="preserve">personas</t>
  </si>
  <si>
    <t xml:space="preserve">2000 - jun 2026</t>
  </si>
  <si>
    <t xml:space="preserve">S06</t>
  </si>
  <si>
    <t xml:space="preserve">5</t>
  </si>
  <si>
    <t xml:space="preserve">Incluye localizadas y no localizadas.</t>
  </si>
  <si>
    <t xml:space="preserve">M11</t>
  </si>
  <si>
    <t xml:space="preserve">Desapariciones registradas en el año</t>
  </si>
  <si>
    <t xml:space="preserve">2025</t>
  </si>
  <si>
    <t xml:space="preserve">S07</t>
  </si>
  <si>
    <t xml:space="preserve">S05 menciona 'casi 12 mil' con otro corte de consulta; las cifras varían según la fecha de consulta del RNPDNO.</t>
  </si>
  <si>
    <t xml:space="preserve">M12</t>
  </si>
  <si>
    <t xml:space="preserve">Promedio diario de personas desaparecidas</t>
  </si>
  <si>
    <t xml:space="preserve">personas/día</t>
  </si>
  <si>
    <t xml:space="preserve">2026 (boletín)</t>
  </si>
  <si>
    <t xml:space="preserve">Promedio citado por el boletín.</t>
  </si>
  <si>
    <t xml:space="preserve">M13</t>
  </si>
  <si>
    <t xml:space="preserve">Niñas, niños y adolescentes entre esas desapariciones diarias (mínimo)</t>
  </si>
  <si>
    <t xml:space="preserve">NNA/día</t>
  </si>
  <si>
    <t xml:space="preserve">El boletín dice 'más de cinco'; se usa 5 como mínimo conservador.</t>
  </si>
  <si>
    <t xml:space="preserve">M14</t>
  </si>
  <si>
    <t xml:space="preserve">Proporción mínima de NNA en desapariciones diarias</t>
  </si>
  <si>
    <t xml:space="preserve">Estimación mínima (≥).</t>
  </si>
  <si>
    <t xml:space="preserve">M15</t>
  </si>
  <si>
    <t xml:space="preserve">NNA desaparecidos o no localizados (vigentes)</t>
  </si>
  <si>
    <t xml:space="preserve">NNA</t>
  </si>
  <si>
    <t xml:space="preserve">Al 8-jun-2026</t>
  </si>
  <si>
    <t xml:space="preserve">Otras fuentes: 18,192 (CIDH, S08) y 18,275 (Gaceta, S11): diferencias por fecha de corte.</t>
  </si>
  <si>
    <t xml:space="preserve">M16</t>
  </si>
  <si>
    <t xml:space="preserve">De ellos: mujeres de 12 a 17 años</t>
  </si>
  <si>
    <t xml:space="preserve">adolescentes</t>
  </si>
  <si>
    <t xml:space="preserve">Grupo de mayor vulnerabilidad.</t>
  </si>
  <si>
    <t xml:space="preserve">M17</t>
  </si>
  <si>
    <t xml:space="preserve">Proporción de mujeres 12-17 dentro de NNA no localizados</t>
  </si>
  <si>
    <t xml:space="preserve">Más de 1 de cada 3.</t>
  </si>
  <si>
    <t xml:space="preserve">M18</t>
  </si>
  <si>
    <t xml:space="preserve">NNA 0-17 desaparecidos (CIDH)</t>
  </si>
  <si>
    <t xml:space="preserve">Corte CIDH 2025-26</t>
  </si>
  <si>
    <t xml:space="preserve">S08</t>
  </si>
  <si>
    <t xml:space="preserve">M19</t>
  </si>
  <si>
    <t xml:space="preserve">  de los cuales niñas y adolescentes mujeres</t>
  </si>
  <si>
    <t xml:space="preserve">Corte CIDH</t>
  </si>
  <si>
    <t xml:space="preserve">M20</t>
  </si>
  <si>
    <t xml:space="preserve">  de los cuales niños y adolescentes hombres</t>
  </si>
  <si>
    <t xml:space="preserve">M21</t>
  </si>
  <si>
    <t xml:space="preserve">  sin sexo especificado (diferencia)</t>
  </si>
  <si>
    <t xml:space="preserve">Diferencia entre total y suma por sexo en la fuente.</t>
  </si>
  <si>
    <t xml:space="preserve">M22</t>
  </si>
  <si>
    <t xml:space="preserve">Menores desaparecidos - Estado de México</t>
  </si>
  <si>
    <t xml:space="preserve">A jun-2025</t>
  </si>
  <si>
    <t xml:space="preserve">S09</t>
  </si>
  <si>
    <t xml:space="preserve">Entidad con más casos de menores.</t>
  </si>
  <si>
    <t xml:space="preserve">M23</t>
  </si>
  <si>
    <t xml:space="preserve">Menores desaparecidos - Ciudad de México</t>
  </si>
  <si>
    <t xml:space="preserve">M24</t>
  </si>
  <si>
    <t xml:space="preserve">Reportes de desaparición de NNA (REDIM)</t>
  </si>
  <si>
    <t xml:space="preserve">reportes (mín.)</t>
  </si>
  <si>
    <t xml:space="preserve">'Más de 10,700'.</t>
  </si>
  <si>
    <t xml:space="preserve">M25</t>
  </si>
  <si>
    <t xml:space="preserve">Niñas y niños desaparecidos en 2026</t>
  </si>
  <si>
    <t xml:space="preserve">Ene-abr 2026</t>
  </si>
  <si>
    <t xml:space="preserve">Comisión Nacional de Búsqueda.</t>
  </si>
  <si>
    <t xml:space="preserve">M26</t>
  </si>
  <si>
    <t xml:space="preserve">Proporción aún sin localizar</t>
  </si>
  <si>
    <t xml:space="preserve">A fines de abr-2026</t>
  </si>
  <si>
    <t xml:space="preserve">M27</t>
  </si>
  <si>
    <t xml:space="preserve">Estimado de NNA sin localizar (2026)</t>
  </si>
  <si>
    <t xml:space="preserve">Aprox. 1 de cada 4 a 3.5 niños.</t>
  </si>
  <si>
    <t xml:space="preserve">M28</t>
  </si>
  <si>
    <t xml:space="preserve">Reportes jul-2026: mujeres 15-19 años</t>
  </si>
  <si>
    <t xml:space="preserve">Jul-2026</t>
  </si>
  <si>
    <t xml:space="preserve">S10</t>
  </si>
  <si>
    <t xml:space="preserve">Grupo con más reportes.</t>
  </si>
  <si>
    <t xml:space="preserve">M29</t>
  </si>
  <si>
    <t xml:space="preserve">Reportes jul-2026: hombres 15-19 años</t>
  </si>
  <si>
    <t xml:space="preserve">M30</t>
  </si>
  <si>
    <t xml:space="preserve">Reportes totales jul-2026 (todas las edades)</t>
  </si>
  <si>
    <t xml:space="preserve">M31</t>
  </si>
  <si>
    <t xml:space="preserve">Proporción de reportes de jul-2026 correspondientes a 15-19 años</t>
  </si>
  <si>
    <t xml:space="preserve">Aprox. 3 de cada 10 reportes del mes.</t>
  </si>
  <si>
    <t xml:space="preserve">M32</t>
  </si>
  <si>
    <t xml:space="preserve">Mujeres adolescentes (12-18) localizadas</t>
  </si>
  <si>
    <t xml:space="preserve">% (mínimo)</t>
  </si>
  <si>
    <t xml:space="preserve">Serie RNPDNO</t>
  </si>
  <si>
    <t xml:space="preserve">'Mayores al 90%': la localización temprana es posible y vale la pena acelerar el aviso inicial. No prueba causalidad con el pase de lista.</t>
  </si>
  <si>
    <t xml:space="preserve">C. Sismo del 19-sep-2017 y escuelas (justifica ventajas 2 y 4)</t>
  </si>
  <si>
    <t xml:space="preserve">M40</t>
  </si>
  <si>
    <t xml:space="preserve">Escuelas dañadas por los sismos (10 estados)</t>
  </si>
  <si>
    <t xml:space="preserve">planteles</t>
  </si>
  <si>
    <t xml:space="preserve">20-sep-2017</t>
  </si>
  <si>
    <t xml:space="preserve">S12</t>
  </si>
  <si>
    <t xml:space="preserve">2, 4</t>
  </si>
  <si>
    <t xml:space="preserve">Cifra preliminar de la SEP; casi 5,000 con el sismo del 7-sep.</t>
  </si>
  <si>
    <t xml:space="preserve">M41</t>
  </si>
  <si>
    <t xml:space="preserve">Estudiantes sin clases por daños</t>
  </si>
  <si>
    <t xml:space="preserve">Sep-2017</t>
  </si>
  <si>
    <t xml:space="preserve">4</t>
  </si>
  <si>
    <t xml:space="preserve">M42</t>
  </si>
  <si>
    <t xml:space="preserve">Colegio Rébsamen: niños fallecidos</t>
  </si>
  <si>
    <t xml:space="preserve">niños</t>
  </si>
  <si>
    <t xml:space="preserve">19-sep-2017</t>
  </si>
  <si>
    <t xml:space="preserve">M43</t>
  </si>
  <si>
    <t xml:space="preserve">Colegio Rébsamen: adultos fallecidos</t>
  </si>
  <si>
    <t xml:space="preserve">adultos</t>
  </si>
  <si>
    <t xml:space="preserve">M44</t>
  </si>
  <si>
    <t xml:space="preserve">Colegio Rébsamen: total de fallecidos</t>
  </si>
  <si>
    <t xml:space="preserve">Reportes tempranos variaron (25-37) mientras no había registro confiable de presentes: valor del punto 2.</t>
  </si>
  <si>
    <t xml:space="preserve">M45</t>
  </si>
  <si>
    <t xml:space="preserve">Planteles de educación básica en CDMX con algún daño</t>
  </si>
  <si>
    <t xml:space="preserve">2017-18</t>
  </si>
  <si>
    <t xml:space="preserve">S13</t>
  </si>
  <si>
    <t xml:space="preserve">M46</t>
  </si>
  <si>
    <t xml:space="preserve">Planteles de educación básica en CDMX (total)</t>
  </si>
  <si>
    <t xml:space="preserve">M47</t>
  </si>
  <si>
    <t xml:space="preserve">Proporción de planteles básicos CDMX con daño</t>
  </si>
  <si>
    <t xml:space="preserve">Cerca de 2 de cada 3.</t>
  </si>
  <si>
    <t xml:space="preserve">M48</t>
  </si>
  <si>
    <t xml:space="preserve">Escuelas con permiso revocado en CDMX por no garantizar seguridad ante emergencias</t>
  </si>
  <si>
    <t xml:space="preserve">escuelas</t>
  </si>
  <si>
    <t xml:space="preserve">Dic-2022 a feb-2023</t>
  </si>
  <si>
    <t xml:space="preserve">Refleja endurecimiento de exigencias de protección civil.</t>
  </si>
  <si>
    <t xml:space="preserve">Datos internacionales: asistencia, ausentismo docente, reconocimiento facial y regulación</t>
  </si>
  <si>
    <t xml:space="preserve">Valores en azul = dato capturado. Negro = fórmula. Consulta: 06-oct-2026.</t>
  </si>
  <si>
    <t xml:space="preserve">A. Ausentismo estudiantil crónico (EE.UU.) - referencia de necesidad y de efecto de intervención</t>
  </si>
  <si>
    <t xml:space="preserve">I01</t>
  </si>
  <si>
    <t xml:space="preserve">Ausentismo crónico, 44 estados + DC</t>
  </si>
  <si>
    <t xml:space="preserve">% de alumnos</t>
  </si>
  <si>
    <t xml:space="preserve">2024-25</t>
  </si>
  <si>
    <t xml:space="preserve">S19</t>
  </si>
  <si>
    <t xml:space="preserve">Estudio AEI.</t>
  </si>
  <si>
    <t xml:space="preserve">I02</t>
  </si>
  <si>
    <t xml:space="preserve">Ausentismo crónico, estimación nacional RAND</t>
  </si>
  <si>
    <t xml:space="preserve">S20</t>
  </si>
  <si>
    <t xml:space="preserve">I03</t>
  </si>
  <si>
    <t xml:space="preserve">Ausentismo crónico prepandemia</t>
  </si>
  <si>
    <t xml:space="preserve">~2018-19</t>
  </si>
  <si>
    <t xml:space="preserve">Aproximado.</t>
  </si>
  <si>
    <t xml:space="preserve">I04</t>
  </si>
  <si>
    <t xml:space="preserve">Exceso sobre nivel prepandemia</t>
  </si>
  <si>
    <t xml:space="preserve">I05</t>
  </si>
  <si>
    <t xml:space="preserve">Ausentismo crónico, 31 estados</t>
  </si>
  <si>
    <t xml:space="preserve">2021-22</t>
  </si>
  <si>
    <t xml:space="preserve">S18</t>
  </si>
  <si>
    <t xml:space="preserve">Attendance Works / Johns Hopkins.</t>
  </si>
  <si>
    <t xml:space="preserve">I06</t>
  </si>
  <si>
    <t xml:space="preserve">I07</t>
  </si>
  <si>
    <t xml:space="preserve">Cambio 2021-22 a 2024-25</t>
  </si>
  <si>
    <t xml:space="preserve">Mejora gracias a sistemas de monitoreo y seguimiento (el informe enfatiza enfoque integral, no solo tecnología).</t>
  </si>
  <si>
    <t xml:space="preserve">I08</t>
  </si>
  <si>
    <t xml:space="preserve">California: ausentismo crónico</t>
  </si>
  <si>
    <t xml:space="preserve">S21</t>
  </si>
  <si>
    <t xml:space="preserve">1,143,668 alumnos.</t>
  </si>
  <si>
    <t xml:space="preserve">I09</t>
  </si>
  <si>
    <t xml:space="preserve">Ausentismo crónico en 5.º grado</t>
  </si>
  <si>
    <t xml:space="preserve">S22</t>
  </si>
  <si>
    <t xml:space="preserve">Fuente comercial (SchoolStatus).</t>
  </si>
  <si>
    <t xml:space="preserve">I10</t>
  </si>
  <si>
    <t xml:space="preserve">Ausentismo crónico en 12.º grado</t>
  </si>
  <si>
    <t xml:space="preserve">I11</t>
  </si>
  <si>
    <t xml:space="preserve">Multiplicador 5.º a 12.º grado</t>
  </si>
  <si>
    <t xml:space="preserve">veces</t>
  </si>
  <si>
    <t xml:space="preserve">El problema crece con la edad: justifica alerta temprana en secundaria/preparatoria.</t>
  </si>
  <si>
    <t xml:space="preserve">I12</t>
  </si>
  <si>
    <t xml:space="preserve">Promedio nacional de ausentismo crónico (según SchoolStatus)</t>
  </si>
  <si>
    <t xml:space="preserve">I13</t>
  </si>
  <si>
    <t xml:space="preserve">Distritos con estrategias proactivas de asistencia</t>
  </si>
  <si>
    <t xml:space="preserve">172 distritos socios; no es experimento aleatorio.</t>
  </si>
  <si>
    <t xml:space="preserve">I14</t>
  </si>
  <si>
    <t xml:space="preserve">Diferencia distritos proactivos vs promedio</t>
  </si>
  <si>
    <t xml:space="preserve">Correlación, no causalidad; fuente con interés comercial.</t>
  </si>
  <si>
    <t xml:space="preserve">I15</t>
  </si>
  <si>
    <t xml:space="preserve">Alumnos que regresaron tras UNA carta de intervención</t>
  </si>
  <si>
    <t xml:space="preserve">Aviso oportuno funciona: respalda la notificación inmediata.</t>
  </si>
  <si>
    <t xml:space="preserve">B. Ausentismo docente (justifica constancia de entrada del profesorado)</t>
  </si>
  <si>
    <t xml:space="preserve">I20</t>
  </si>
  <si>
    <t xml:space="preserve">Docentes ausentes en visitas sorpresa (promedio de 6 países en desarrollo)</t>
  </si>
  <si>
    <t xml:space="preserve">% de docentes</t>
  </si>
  <si>
    <t xml:space="preserve">Estudio 2004-06</t>
  </si>
  <si>
    <t xml:space="preserve">S24</t>
  </si>
  <si>
    <t xml:space="preserve">1</t>
  </si>
  <si>
    <t xml:space="preserve">Banco Mundial.</t>
  </si>
  <si>
    <t xml:space="preserve">I21</t>
  </si>
  <si>
    <t xml:space="preserve">India: docentes ausentes</t>
  </si>
  <si>
    <t xml:space="preserve">Estudio Banco Mundial</t>
  </si>
  <si>
    <t xml:space="preserve">S25</t>
  </si>
  <si>
    <t xml:space="preserve">I22</t>
  </si>
  <si>
    <t xml:space="preserve">Bangladés: docentes ausentes (primaria)</t>
  </si>
  <si>
    <t xml:space="preserve">I23</t>
  </si>
  <si>
    <t xml:space="preserve">Uganda: docentes ausentes</t>
  </si>
  <si>
    <t xml:space="preserve">I24</t>
  </si>
  <si>
    <t xml:space="preserve">Kenia: docentes ausentes</t>
  </si>
  <si>
    <t xml:space="preserve">I25</t>
  </si>
  <si>
    <t xml:space="preserve">Perú: tiempo de ausencia docente</t>
  </si>
  <si>
    <t xml:space="preserve">% del tiempo</t>
  </si>
  <si>
    <t xml:space="preserve">S26</t>
  </si>
  <si>
    <t xml:space="preserve">El país más cercano culturalmente a México en la muestra.</t>
  </si>
  <si>
    <t xml:space="preserve">I26</t>
  </si>
  <si>
    <t xml:space="preserve">EE.UU. y Finlandia: ausencias docentes (techo)</t>
  </si>
  <si>
    <t xml:space="preserve">% (menor a)</t>
  </si>
  <si>
    <t xml:space="preserve">Referencia</t>
  </si>
  <si>
    <t xml:space="preserve">Cifra de columna de opinión; verificar con fuente primaria.</t>
  </si>
  <si>
    <t xml:space="preserve">I27</t>
  </si>
  <si>
    <t xml:space="preserve">India (Seva Mandir): ausencia docente en línea base</t>
  </si>
  <si>
    <t xml:space="preserve">Experimento aleatorio</t>
  </si>
  <si>
    <t xml:space="preserve">I28</t>
  </si>
  <si>
    <t xml:space="preserve">Hallazgo clave: el monitoreo SIN incentivos/consecuencias no funcionó</t>
  </si>
  <si>
    <t xml:space="preserve">Experimento</t>
  </si>
  <si>
    <t xml:space="preserve">Implicación de diseño: el sistema debe ir acompañado de un protocolo con consecuencias o apoyos.</t>
  </si>
  <si>
    <t xml:space="preserve">I29</t>
  </si>
  <si>
    <t xml:space="preserve">Mejora en asistencia de personal con monitores biométricos (centros de salud, India)</t>
  </si>
  <si>
    <t xml:space="preserve">% de mejora</t>
  </si>
  <si>
    <t xml:space="preserve">2010-13</t>
  </si>
  <si>
    <t xml:space="preserve">Efecto limitado y desgastable; no es escolar ni facial.</t>
  </si>
  <si>
    <t xml:space="preserve">C. Precisión del reconocimiento facial (NIST) - desventaja y condición de diseño</t>
  </si>
  <si>
    <t xml:space="preserve">I40</t>
  </si>
  <si>
    <t xml:space="preserve">Exactitud típica de muchos algoritmos en todos los grupos demográficos</t>
  </si>
  <si>
    <t xml:space="preserve">FRVT 2019</t>
  </si>
  <si>
    <t xml:space="preserve">S28</t>
  </si>
  <si>
    <t xml:space="preserve">Desv.</t>
  </si>
  <si>
    <t xml:space="preserve">98-99% a umbral FMR 0.03%. Diferencias absolutas suelen ser &lt;1%.</t>
  </si>
  <si>
    <t xml:space="preserve">I41</t>
  </si>
  <si>
    <t xml:space="preserve">Diferencial de falsos positivos en algoritmos menos precisos</t>
  </si>
  <si>
    <t xml:space="preserve">veces (&gt;)</t>
  </si>
  <si>
    <t xml:space="preserve">Del peor al mejor grupo. Los mejores algoritmos tienen diferenciales indetectables.</t>
  </si>
  <si>
    <t xml:space="preserve">I42</t>
  </si>
  <si>
    <t xml:space="preserve">Niños: mayor tasa de falsos positivos que adultos de mediana edad</t>
  </si>
  <si>
    <t xml:space="preserve">Sí</t>
  </si>
  <si>
    <t xml:space="preserve">Relevante porque su población objetivo son menores. Exigir pruebas con niños del proveedor.</t>
  </si>
  <si>
    <t xml:space="preserve">D. Regulación y sanciones por reconocimiento facial en escuelas</t>
  </si>
  <si>
    <t xml:space="preserve">I50</t>
  </si>
  <si>
    <t xml:space="preserve">Suecia (Skellefteå): multa GDPR por asistencia con reconocimiento facial</t>
  </si>
  <si>
    <t xml:space="preserve">SEK (~20,000 EUR)</t>
  </si>
  <si>
    <t xml:space="preserve">Ago-2019</t>
  </si>
  <si>
    <t xml:space="preserve">S29</t>
  </si>
  <si>
    <t xml:space="preserve">Piloto de 3 semanas con 22 alumnos. Tribunal confirmó la decisión.</t>
  </si>
  <si>
    <t xml:space="preserve">I51</t>
  </si>
  <si>
    <t xml:space="preserve">Suecia: alumnos en el piloto sancionado</t>
  </si>
  <si>
    <t xml:space="preserve">2018-19</t>
  </si>
  <si>
    <t xml:space="preserve">I52</t>
  </si>
  <si>
    <t xml:space="preserve">Suecia: motivo central</t>
  </si>
  <si>
    <t xml:space="preserve">Consentimiento inválido</t>
  </si>
  <si>
    <t xml:space="preserve">2019</t>
  </si>
  <si>
    <t xml:space="preserve">S30</t>
  </si>
  <si>
    <t xml:space="preserve">Desequilibrio de poder escuela-alumno; había alternativas menos invasivas; faltó evaluación de impacto.</t>
  </si>
  <si>
    <t xml:space="preserve">I53</t>
  </si>
  <si>
    <t xml:space="preserve">Reino Unido (Chelmer Valley, ~1,200 alumnos): reprimenda del ICO</t>
  </si>
  <si>
    <t xml:space="preserve">Reprimenda</t>
  </si>
  <si>
    <t xml:space="preserve">Jul-2024</t>
  </si>
  <si>
    <t xml:space="preserve">S31</t>
  </si>
  <si>
    <t xml:space="preserve">Sin DPIA ni consentimiento afirmativo. El ICO aclaró que NO prohíbe su uso, exige hacerlo bien.</t>
  </si>
  <si>
    <t xml:space="preserve">I54</t>
  </si>
  <si>
    <t xml:space="preserve">Francia (Niza y Marsella): la CNIL se opuso a pilotos en liceos</t>
  </si>
  <si>
    <t xml:space="preserve">Oposición</t>
  </si>
  <si>
    <t xml:space="preserve">Argumentos: intensifica sensación de vigilancia; hay medios menos intrusivos.</t>
  </si>
  <si>
    <t xml:space="preserve">Calculadora de tiempo docente recuperado</t>
  </si>
  <si>
    <t xml:space="preserve">Celdas amarillas = supuestos EDITABLES (no son datos oficiales). Reemplácelos con mediciones de su escuela.</t>
  </si>
  <si>
    <t xml:space="preserve">Concepto</t>
  </si>
  <si>
    <t xml:space="preserve">Nota</t>
  </si>
  <si>
    <t xml:space="preserve">Grupos en el plantel</t>
  </si>
  <si>
    <t xml:space="preserve">Supuesto: escuela mediana.</t>
  </si>
  <si>
    <t xml:space="preserve">Clases por grupo por día</t>
  </si>
  <si>
    <t xml:space="preserve">Supuesto: un pase de lista por clase.</t>
  </si>
  <si>
    <t xml:space="preserve">Minutos que toma el pase manual por clase</t>
  </si>
  <si>
    <t xml:space="preserve">Supuesto: medir con cronómetro una semana.</t>
  </si>
  <si>
    <t xml:space="preserve">Días lectivos al año</t>
  </si>
  <si>
    <t xml:space="preserve">Supuesto: calendario SEP reciente (verificar el ciclo vigente).</t>
  </si>
  <si>
    <t xml:space="preserve">% del tiempo que el sistema automático recupera</t>
  </si>
  <si>
    <t xml:space="preserve">Supuesto: el docente aún valida/corrige excepciones.</t>
  </si>
  <si>
    <t xml:space="preserve">Resultados</t>
  </si>
  <si>
    <t xml:space="preserve">Pases de lista por día</t>
  </si>
  <si>
    <t xml:space="preserve">Fórmula</t>
  </si>
  <si>
    <t xml:space="preserve">Minutos de pase de lista por día</t>
  </si>
  <si>
    <t xml:space="preserve">Horas de pase de lista por año (manual)</t>
  </si>
  <si>
    <t xml:space="preserve">Horas recuperadas por año con sistema automático</t>
  </si>
  <si>
    <t xml:space="preserve">Equivalente en jornadas de 8 horas</t>
  </si>
  <si>
    <t xml:space="preserve">Ejemplo realista de llenado: 20 grupos, 6 clases/día, 4 min, 185 días, 80% recuperable (valores ya cargados arriba).</t>
  </si>
  <si>
    <t xml:space="preserve">Fuentes consultadas (06-oct-2026)</t>
  </si>
  <si>
    <t xml:space="preserve">Las cifras de prensa citan a organismos oficiales; se recomienda verificar en la fuente primaria antes de publicar.</t>
  </si>
  <si>
    <t xml:space="preserve">Título</t>
  </si>
  <si>
    <t xml:space="preserve">Organismo</t>
  </si>
  <si>
    <t xml:space="preserve">Tipo</t>
  </si>
  <si>
    <t xml:space="preserve">URL</t>
  </si>
  <si>
    <t xml:space="preserve">Nota de calidad</t>
  </si>
  <si>
    <t xml:space="preserve">S01</t>
  </si>
  <si>
    <t xml:space="preserve">INEGI - Tabulados Educación 11: Tasa de abandono escolar por entidad y nivel (calculada por SEP con proyecciones CONAPO)</t>
  </si>
  <si>
    <t xml:space="preserve">INEGI / SEP</t>
  </si>
  <si>
    <t xml:space="preserve">Oficial</t>
  </si>
  <si>
    <t xml:space="preserve">https://www.inegi.org.mx/app/tabulados/pxwebv2/pxweb/es/Educacion/Educacion/Educacion_11.px/</t>
  </si>
  <si>
    <t xml:space="preserve">Fuente primaria del indicador. Cifras 2023/24 reemplazadas por definitivas el 5-dic-2025.</t>
  </si>
  <si>
    <t xml:space="preserve">Expansión (15-jul-2026): La SEP concluye otro ciclo sin evaluación a alumnos y sin datos sobre abandono escolar</t>
  </si>
  <si>
    <t xml:space="preserve">Expansión (cita SIGED-SEP, Mexicanos Primero)</t>
  </si>
  <si>
    <t xml:space="preserve">Prensa especializada</t>
  </si>
  <si>
    <t xml:space="preserve">https://politica.expansion.mx/mexico/2026/07/15/sep-concluye-ciclo-sin-evaluacion-a-alumnos</t>
  </si>
  <si>
    <t xml:space="preserve">Abandono 2019-20 vs 2023-24 y falta de actualización del SIGED desde 2023-24.</t>
  </si>
  <si>
    <t xml:space="preserve">S03</t>
  </si>
  <si>
    <t xml:space="preserve">Xataka México: La SEP termina otro ciclo sin saber cuántos alumnos abandonaron la escuela</t>
  </si>
  <si>
    <t xml:space="preserve">Xataka México (cita Expansión/SIGED)</t>
  </si>
  <si>
    <t xml:space="preserve">Prensa</t>
  </si>
  <si>
    <t xml:space="preserve">https://www.xataka.com.mx/educacion/sep-termina-otro-ciclo-saber-cuantos-alumnos-abandonaron-escuela-mexico-sigue-medir-tamano-problema</t>
  </si>
  <si>
    <t xml:space="preserve">Confirma cifras de abandono por nivel 2019-20 a 2023-24.</t>
  </si>
  <si>
    <t xml:space="preserve">UnoTV: Matrícula escolar en México 2020-2025 (datos INEGI)</t>
  </si>
  <si>
    <t xml:space="preserve">UnoTV (cita INEGI)</t>
  </si>
  <si>
    <t xml:space="preserve">https://www.unotv.com/nacional/matricula-escolar-mexico-inegi-ocde-2020-2025/</t>
  </si>
  <si>
    <t xml:space="preserve">Matrícula 2023-24: 33,062,447.</t>
  </si>
  <si>
    <t xml:space="preserve">S05</t>
  </si>
  <si>
    <t xml:space="preserve">Crónica (17-ago-2026): Desapariciones forzadas en México</t>
  </si>
  <si>
    <t xml:space="preserve">Crónica (cita RNPDNO)</t>
  </si>
  <si>
    <t xml:space="preserve">https://www.cronica.com.mx/nacional/2026/08/17/desapariciones-forzadas-en-mexico/</t>
  </si>
  <si>
    <t xml:space="preserve">Serie anual RNPDNO a jun-2026; proporción por sexo/edad.</t>
  </si>
  <si>
    <t xml:space="preserve">Crónica (14-sep-2026): Desapariciones forzadas en México - localizados</t>
  </si>
  <si>
    <t xml:space="preserve">https://www.cronica.com.mx/nacional/2026/09/14/desapariciones-forzadas-en-mexico-localizados/</t>
  </si>
  <si>
    <t xml:space="preserve">365,024 registros 2000-jun 2026; adolescentes mujeres con &gt;90% de localización.</t>
  </si>
  <si>
    <t xml:space="preserve">Boletín 29/2026 (30-ago-2026) - Somos MX / DDHH</t>
  </si>
  <si>
    <t xml:space="preserve">Somos MX (cita RNPDNO)</t>
  </si>
  <si>
    <t xml:space="preserve">ONG</t>
  </si>
  <si>
    <t xml:space="preserve">https://somosmx.org.mx/wp-content/uploads/2026/08/Boletin29.pdf.pdf</t>
  </si>
  <si>
    <t xml:space="preserve">12,961 desapariciones en 2025; 35 por día; &gt;5 son NNA; 18,104 NNA al 8-jun-2026.</t>
  </si>
  <si>
    <t xml:space="preserve">UnoTV: CIDH alerta que desaparecen más niñas que niños en México</t>
  </si>
  <si>
    <t xml:space="preserve">UnoTV (cita CIDH, CNB, REDIM)</t>
  </si>
  <si>
    <t xml:space="preserve">https://www.unotv.com/nacional/cidh-alerta-que-desaparecen-mas-ninas-que-ninos-en-mexico/</t>
  </si>
  <si>
    <t xml:space="preserve">18,192 NNA 0-17 desaparecidos; 1,485 en 2026 (28% sin localizar a abril); REDIM &gt;10,700 reportes en 2025.</t>
  </si>
  <si>
    <t xml:space="preserve">SDP Noticias: El estado donde más desaparecen niños y adolescentes según la CIDH</t>
  </si>
  <si>
    <t xml:space="preserve">SDP Noticias (cita CIDH/RNPDNO)</t>
  </si>
  <si>
    <t xml:space="preserve">https://www.sdpnoticias.com/mexico/el-estado-donde-mas-desaparecen-ninos-y-adolescentes-en-mexico-segun-la-cidh/</t>
  </si>
  <si>
    <t xml:space="preserve">Estado de México 4,113; CDMX 1,583 menores (corte jun-2025).</t>
  </si>
  <si>
    <t xml:space="preserve">UnoTV: Adolescentes de 15 a 19 años vuelven a liderar las desapariciones en julio de 2026</t>
  </si>
  <si>
    <t xml:space="preserve">UnoTV (cita RNPDNO)</t>
  </si>
  <si>
    <t xml:space="preserve">https://www.unotv.com/nacional/desapariciones-mexico-julio-2026-adolescentes/</t>
  </si>
  <si>
    <t xml:space="preserve">Julio 2026: 1,070 reportes; 15-19 años: 193 mujeres y 137 hombres.</t>
  </si>
  <si>
    <t xml:space="preserve">S11</t>
  </si>
  <si>
    <t xml:space="preserve">Gaceta Parlamentaria (11-nov-2025): proposición sobre desapariciones de NNA</t>
  </si>
  <si>
    <t xml:space="preserve">Cámara de Diputados</t>
  </si>
  <si>
    <t xml:space="preserve">Oficial (legislativo)</t>
  </si>
  <si>
    <t xml:space="preserve">https://gaceta.diputados.gob.mx/PDF/66/2025/nov/20251111-III-5.pdf</t>
  </si>
  <si>
    <t xml:space="preserve">118,690 casos históricos NNA 0-17; 18,275 siguen desaparecidos (texto parcialmente legible).</t>
  </si>
  <si>
    <t xml:space="preserve">Expansión (20-sep-2017): Al menos 2,224 escuelas resultaron dañadas por el sismo</t>
  </si>
  <si>
    <t xml:space="preserve">Expansión (cita SEP)</t>
  </si>
  <si>
    <t xml:space="preserve">https://expansion.mx/nacional/2017/09/20/al-menos-2-224-escuelas-resultaron-danadas-por-el-sismo</t>
  </si>
  <si>
    <t xml:space="preserve">2,224 escuelas dañadas en 10 estados; 14 millones de estudiantes sin clases.</t>
  </si>
  <si>
    <t xml:space="preserve">Expansión (19-sep-2018): El día que el sismo interrumpió las clases</t>
  </si>
  <si>
    <t xml:space="preserve">Expansión</t>
  </si>
  <si>
    <t xml:space="preserve">https://politica.expansion.mx/mexico/2018/09/19/donde-el-19s-interrumpio-las-clases-las-escuelas-que-el-sismo-afecto</t>
  </si>
  <si>
    <t xml:space="preserve">1,901 de 2,800 planteles básicos CDMX con daños; Rébsamen 26 muertos (19 menores).</t>
  </si>
  <si>
    <t xml:space="preserve">Expansión (2-feb-2023): Disculpa pública por Rébsamen</t>
  </si>
  <si>
    <t xml:space="preserve">https://politica.expansion.mx/cdmx/2023/02/02/jefa-de-gobierno-alcaldesa-de-tlalpan-y-la-sep-ofrecen-disculpa-por-rebsamen</t>
  </si>
  <si>
    <t xml:space="preserve">26 fallecidos (19 niños, 7 adultos); 31 escuelas con permiso revocado en CDMX.</t>
  </si>
  <si>
    <t xml:space="preserve">S15</t>
  </si>
  <si>
    <t xml:space="preserve">Ley Federal de Protección de Datos Personales en Posesión de los Particulares (DOF 20-mar-2025)</t>
  </si>
  <si>
    <t xml:space="preserve">Cámara de Diputados / DOF</t>
  </si>
  <si>
    <t xml:space="preserve">Oficial (ley)</t>
  </si>
  <si>
    <t xml:space="preserve">https://www.diputados.gob.mx/LeyesBiblio/pdf/LFPDPPP.pdf</t>
  </si>
  <si>
    <t xml:space="preserve">Aplica a escuelas privadas. Escuelas públicas: Ley General de Protección de Datos Personales en Posesión de Sujetos Obligados (misma publicación).</t>
  </si>
  <si>
    <t xml:space="preserve">S16</t>
  </si>
  <si>
    <t xml:space="preserve">Garrigues: Nueva LFPDPPP introduce aviso de privacidad y elimina el INAI</t>
  </si>
  <si>
    <t xml:space="preserve">Garrigues</t>
  </si>
  <si>
    <t xml:space="preserve">Despacho jurídico</t>
  </si>
  <si>
    <t xml:space="preserve">https://www.garrigues.com/es_ES/noticia/mexico-nueva-ley-federal-proteccion-datos-personales-posesion-particulares-introduce</t>
  </si>
  <si>
    <t xml:space="preserve">Nueva autoridad: Secretaría Anticorrupción y Buen Gobierno.</t>
  </si>
  <si>
    <t xml:space="preserve">S17</t>
  </si>
  <si>
    <t xml:space="preserve">Cuadro comparativo - iniciativa para considerar sensibles los datos biométricos (LXVI Legislatura)</t>
  </si>
  <si>
    <t xml:space="preserve">https://sitl.diputados.gob.mx/LXVI_leg/cuadros_comparativos/2PO2/0432-2PO2-26.pdf</t>
  </si>
  <si>
    <t xml:space="preserve">Es una INICIATIVA, no ley vigente: verificar estatus antes de citar como norma.</t>
  </si>
  <si>
    <t xml:space="preserve">K-12 Dive: 1 in 5 students are still chronically absent (Attendance Works / Johns Hopkins)</t>
  </si>
  <si>
    <t xml:space="preserve">K-12 Dive</t>
  </si>
  <si>
    <t xml:space="preserve">https://k12dive.com/news/1-in-5-students-are-still-chronically-absent/821771/</t>
  </si>
  <si>
    <t xml:space="preserve">31 estados: 29% (2021-22) a 21% (2024-25).</t>
  </si>
  <si>
    <t xml:space="preserve">Chalkbeat (30-jun-2026): informe AEI sobre ausentismo crónico</t>
  </si>
  <si>
    <t xml:space="preserve">Chalkbeat (cita AEI)</t>
  </si>
  <si>
    <t xml:space="preserve">https://www.chalkbeat.org/2026/06/30/chronic-absenteeism-crisis-not-just-due-to-pandemic-study-finds/</t>
  </si>
  <si>
    <t xml:space="preserve">22.6% en 44 estados + DC (2024-25).</t>
  </si>
  <si>
    <t xml:space="preserve">RAND: Chronic Absenteeism Still a Struggle in 2024-2025</t>
  </si>
  <si>
    <t xml:space="preserve">RAND Corporation</t>
  </si>
  <si>
    <t xml:space="preserve">Academia / think tank</t>
  </si>
  <si>
    <t xml:space="preserve">https://www.rand.org/pubs/research_reports/RRA956-34.html</t>
  </si>
  <si>
    <t xml:space="preserve">~22% (21.8%) en 2024-25; ~15% prepandemia; 28% en 2021-22.</t>
  </si>
  <si>
    <t xml:space="preserve">Policy Analysis for California Education: Unpacking California's Chronic Absence Crisis 2024-25</t>
  </si>
  <si>
    <t xml:space="preserve">PACE</t>
  </si>
  <si>
    <t xml:space="preserve">Academia</t>
  </si>
  <si>
    <t xml:space="preserve">https://edpolicyinca.org/publications/unpacking-californias-chronic-absence-crisis-through-2024-25</t>
  </si>
  <si>
    <t xml:space="preserve">California 19.4% (1,143,668 alumnos).</t>
  </si>
  <si>
    <t xml:space="preserve">SchoolStatus: Key Attendance Trends 2024-25 (1.3 M estudiantes)</t>
  </si>
  <si>
    <t xml:space="preserve">SchoolStatus</t>
  </si>
  <si>
    <t xml:space="preserve">Proveedor comercial</t>
  </si>
  <si>
    <t xml:space="preserve">https://www.schoolstatus.com/?p=31515</t>
  </si>
  <si>
    <t xml:space="preserve">OJO: la fuente vende software de asistencia (posible sesgo).</t>
  </si>
  <si>
    <t xml:space="preserve">VoxDev: Monitoring attendance to improve public services in India (J-PAL / estudios de Banerjee, Duflo, Hanna et al.)</t>
  </si>
  <si>
    <t xml:space="preserve">VoxDev</t>
  </si>
  <si>
    <t xml:space="preserve">https://voxdev.org/node/61856</t>
  </si>
  <si>
    <t xml:space="preserve">Monitoreo + incentivos mejoró asistencia docente; sin incentivos no funcionaba.</t>
  </si>
  <si>
    <t xml:space="preserve">Banco Mundial WPS4847: Reducing Teacher Absence and Providing Incentives</t>
  </si>
  <si>
    <t xml:space="preserve">Banco Mundial</t>
  </si>
  <si>
    <t xml:space="preserve">Organismo internacional</t>
  </si>
  <si>
    <t xml:space="preserve">https://documents1.worldbank.org/curated/pt/696251468041441277/pdf/WPS4847.pdf</t>
  </si>
  <si>
    <t xml:space="preserve">Visitas sorpresa en 6 países: 19% de docentes ausentes en promedio.</t>
  </si>
  <si>
    <t xml:space="preserve">The Kathmandu Post (2022): Teachers bunking classes</t>
  </si>
  <si>
    <t xml:space="preserve">Kathmandu Post (cita Banco Mundial)</t>
  </si>
  <si>
    <t xml:space="preserve">https://kathmandupost.com/columns/2022/09/28/teachers-bunking-classes</t>
  </si>
  <si>
    <t xml:space="preserve">India 25%, Bangladesh 16%, Uganda 27%, Kenia 28%; &lt;5% en EE.UU. y Finlandia (cifras de columna de opinión; verificar).</t>
  </si>
  <si>
    <t xml:space="preserve">Alcázar &amp; Rogers (Banco Mundial/Harvard): Why are teachers absent? Peru</t>
  </si>
  <si>
    <t xml:space="preserve">Banco Mundial / IIEP-UNESCO</t>
  </si>
  <si>
    <t xml:space="preserve">https://etico.iiep.unesco.org/en/why-are-teachers-absent-probing-service-delivery-peruvian-primary-schools</t>
  </si>
  <si>
    <t xml:space="preserve">Perú: docentes ausentes 11% del tiempo.</t>
  </si>
  <si>
    <t xml:space="preserve">NIST FRVT Part 3: Demographic Effects (NISTIR 8280, dic-2019)</t>
  </si>
  <si>
    <t xml:space="preserve">NIST (EE.UU.)</t>
  </si>
  <si>
    <t xml:space="preserve">Organismo oficial</t>
  </si>
  <si>
    <t xml:space="preserve">https://www.exploreaiethics.com/reports/face-recognition-vendor-test-frvt-part-3-demographic-effects/</t>
  </si>
  <si>
    <t xml:space="preserve">Mayor tasa de falsos positivos en niños y ancianos en la mayoría de algoritmos.</t>
  </si>
  <si>
    <t xml:space="preserve">Bipartisan Policy Center: Face Recognition Technology Accuracy and Performance (resume NIST)</t>
  </si>
  <si>
    <t xml:space="preserve">BPC</t>
  </si>
  <si>
    <t xml:space="preserve">Think tank</t>
  </si>
  <si>
    <t xml:space="preserve">https://bipartisanpolicy.org/blog/frt-accuracy-performance</t>
  </si>
  <si>
    <t xml:space="preserve">Muchos algoritmos 98-99% de exactitud en todos los grupos; diferenciales &gt;100x en los peores.</t>
  </si>
  <si>
    <t xml:space="preserve">IMY (Suecia): Facial recognition in school renders Sweden's first GDPR fine</t>
  </si>
  <si>
    <t xml:space="preserve">Autoridad sueca de protección de datos</t>
  </si>
  <si>
    <t xml:space="preserve">https://imy.se/en/about-us/arkiv/nyhetsarkiv/facial-recognition-in-school-renders-swedens-first-gdpr-fine</t>
  </si>
  <si>
    <t xml:space="preserve">SEK 200,000 (~€20,000) por usar reconocimiento facial para asistencia.</t>
  </si>
  <si>
    <t xml:space="preserve">Hunton: Swedish DPA issues first fine under GDPR</t>
  </si>
  <si>
    <t xml:space="preserve">Hunton Andrews Kurth</t>
  </si>
  <si>
    <t xml:space="preserve">https://hunton.com/privacy-and-information-security-law/swedish-data-protection-authority-issues-first-fine-under-gdpr</t>
  </si>
  <si>
    <t xml:space="preserve">Consentimiento no válido por desequilibrio alumno-escuela.</t>
  </si>
  <si>
    <t xml:space="preserve">ICO (Reino Unido): Essex school reprimanded after using facial recognition (jul-2024)</t>
  </si>
  <si>
    <t xml:space="preserve">Information Commissioner's Office</t>
  </si>
  <si>
    <t xml:space="preserve">https://ico.org.uk/about-the-ico/media-centre/news-and-blogs/2024/07/essex-school-reprimanded-after-using-facial-recognition-technology-for-canteen-payments</t>
  </si>
  <si>
    <t xml:space="preserve">Sin DPIA ni consentimiento afirmativo; ICO no prohíbe su uso en escuelas.</t>
  </si>
  <si>
    <t xml:space="preserve">Access Now: In the EU, facial recognition in schools gets an F in data protection</t>
  </si>
  <si>
    <t xml:space="preserve">Access Now</t>
  </si>
  <si>
    <t xml:space="preserve">https://www.accessnow.org/in-the-eu-facial-recognition-in-schools-gets-an-f-in-data-protection/</t>
  </si>
  <si>
    <t xml:space="preserve">CNIL (Francia) se opuso a pilotos en liceos de Niza y Marsella.</t>
  </si>
  <si>
    <t xml:space="preserve">S33</t>
  </si>
  <si>
    <t xml:space="preserve">ADN40 (1-sep-2025): INEGI revela que 10.8% de los jóvenes desertan de la preparatoria</t>
  </si>
  <si>
    <t xml:space="preserve">ADN40 (cita INEGI)</t>
  </si>
  <si>
    <t xml:space="preserve">https://www.adn40.mx/mexico/2025-09-01/educacion-en-mexico-el-10-8-jovenes-desertan-preparatoria-inegi</t>
  </si>
  <si>
    <t xml:space="preserve">Cifras distintas a S02 (10.8% media superior; 2.9% secundaria; 5.7% superior). Verificar en S01.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</si>
</sst>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&quot; pp&quot;"/>
    <numFmt numFmtId="167" formatCode="#,##0"/>
    <numFmt numFmtId="168" formatCode="0%"/>
    <numFmt numFmtId="169" formatCode="0.00"/>
    <numFmt numFmtId="170" formatCode="General"/>
    <numFmt numFmtId="171" formatCode="0.00%"/>
    <numFmt numFmtId="172" formatCode="0.0\x"/>
    <numFmt numFmtId="173" formatCode="0\x"/>
    <numFmt numFmtId="174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abandono escolar por nivel (SEP/SIGED)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Resumen!B26</c:f>
              <c:strCache>
                <c:ptCount val="1"/>
                <c:pt idx="0">
                  <c:v>2019-20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Resumen!$A$27:$A$29</c:f>
              <c:strCache>
                <c:ptCount val="3"/>
                <c:pt idx="0">
                  <c:v>Primaria</c:v>
                </c:pt>
                <c:pt idx="1">
                  <c:v>Secundaria</c:v>
                </c:pt>
                <c:pt idx="2">
                  <c:v>Media superior</c:v>
                </c:pt>
              </c:strCache>
            </c:strRef>
          </c:cat>
          <c:val>
            <c:numRef>
              <c:f>Resumen!$B$27:$B$29</c:f>
              <c:numCache>
                <c:formatCode>0.0%</c:formatCode>
                <c:ptCount val="3"/>
                <c:pt idx="0">
                  <c:v>0.004</c:v>
                </c:pt>
                <c:pt idx="1">
                  <c:v>0.027</c:v>
                </c:pt>
                <c:pt idx="2">
                  <c:v>0.103</c:v>
                </c:pt>
              </c:numCache>
            </c:numRef>
          </c:val>
        </c:ser>
        <c:ser>
          <c:idx val="1"/>
          <c:order val="1"/>
          <c:tx>
            <c:strRef>
              <c:f>Resumen!C26</c:f>
              <c:strCache>
                <c:ptCount val="1"/>
                <c:pt idx="0">
                  <c:v>2023-24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Resumen!$A$27:$A$29</c:f>
              <c:strCache>
                <c:ptCount val="3"/>
                <c:pt idx="0">
                  <c:v>Primaria</c:v>
                </c:pt>
                <c:pt idx="1">
                  <c:v>Secundaria</c:v>
                </c:pt>
                <c:pt idx="2">
                  <c:v>Media superior</c:v>
                </c:pt>
              </c:strCache>
            </c:strRef>
          </c:cat>
          <c:val>
            <c:numRef>
              <c:f>Resumen!$C$27:$C$29</c:f>
              <c:numCache>
                <c:formatCode>0.0%</c:formatCode>
                <c:ptCount val="3"/>
                <c:pt idx="0">
                  <c:v>0.006</c:v>
                </c:pt>
                <c:pt idx="1">
                  <c:v>0.037</c:v>
                </c:pt>
                <c:pt idx="2">
                  <c:v>0.113</c:v>
                </c:pt>
              </c:numCache>
            </c:numRef>
          </c:val>
        </c:ser>
        <c:gapWidth val="150"/>
        <c:overlap val="0"/>
        <c:axId val="8588353"/>
        <c:axId val="46709686"/>
      </c:barChart>
      <c:catAx>
        <c:axId val="8588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9686"/>
        <c:crosses val="autoZero"/>
        <c:auto val="1"/>
        <c:lblAlgn val="ctr"/>
        <c:lblOffset val="100"/>
        <c:noMultiLvlLbl val="0"/>
      </c:catAx>
      <c:valAx>
        <c:axId val="46709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matrícula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8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160920</xdr:rowOff>
    </xdr:from>
    <xdr:to>
      <xdr:col>2</xdr:col>
      <xdr:colOff>261720</xdr:colOff>
      <xdr:row>44</xdr:row>
      <xdr:rowOff>182880</xdr:rowOff>
    </xdr:to>
    <xdr:graphicFrame>
      <xdr:nvGraphicFramePr>
        <xdr:cNvPr id="0" name="Chart 1"/>
        <xdr:cNvGraphicFramePr/>
      </xdr:nvGraphicFramePr>
      <xdr:xfrm>
        <a:off x="0" y="6972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31.5" hidden="false" customHeight="true" outlineLevel="0" collapsed="false">
      <c r="A5" s="5" t="s">
        <v>3</v>
      </c>
      <c r="B5" s="5"/>
      <c r="C5" s="5"/>
    </row>
    <row r="6" customFormat="false" ht="31.5" hidden="false" customHeight="true" outlineLevel="0" collapsed="false">
      <c r="A6" s="5" t="s">
        <v>4</v>
      </c>
      <c r="B6" s="5"/>
      <c r="C6" s="5"/>
    </row>
    <row r="7" customFormat="false" ht="31.5" hidden="false" customHeight="true" outlineLevel="0" collapsed="false">
      <c r="A7" s="5" t="s">
        <v>5</v>
      </c>
      <c r="B7" s="5"/>
      <c r="C7" s="5"/>
    </row>
    <row r="8" customFormat="false" ht="31.5" hidden="false" customHeight="true" outlineLevel="0" collapsed="false">
      <c r="A8" s="5" t="s">
        <v>6</v>
      </c>
      <c r="B8" s="5"/>
      <c r="C8" s="5"/>
    </row>
    <row r="9" customFormat="false" ht="31.5" hidden="false" customHeight="true" outlineLevel="0" collapsed="false">
      <c r="A9" s="5" t="s">
        <v>7</v>
      </c>
      <c r="B9" s="5"/>
      <c r="C9" s="5"/>
    </row>
    <row r="10" customFormat="false" ht="31.5" hidden="false" customHeight="true" outlineLevel="0" collapsed="false">
      <c r="A10" s="5" t="s">
        <v>8</v>
      </c>
      <c r="B10" s="5"/>
      <c r="C10" s="5"/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4" t="s">
        <v>9</v>
      </c>
      <c r="B12" s="2"/>
      <c r="C12" s="2"/>
    </row>
    <row r="13" customFormat="false" ht="15" hidden="false" customHeight="false" outlineLevel="0" collapsed="false">
      <c r="A13" s="6" t="s">
        <v>10</v>
      </c>
      <c r="B13" s="6" t="s">
        <v>11</v>
      </c>
      <c r="C13" s="6" t="s">
        <v>12</v>
      </c>
    </row>
    <row r="14" customFormat="false" ht="15" hidden="false" customHeight="false" outlineLevel="0" collapsed="false">
      <c r="A14" s="7" t="s">
        <v>13</v>
      </c>
      <c r="B14" s="8" t="n">
        <f aca="false">Datos_Mexico!C16</f>
        <v>0.113</v>
      </c>
      <c r="C14" s="7" t="s">
        <v>14</v>
      </c>
    </row>
    <row r="15" customFormat="false" ht="15" hidden="false" customHeight="false" outlineLevel="0" collapsed="false">
      <c r="A15" s="7" t="s">
        <v>15</v>
      </c>
      <c r="B15" s="9" t="n">
        <f aca="false">Datos_Mexico!C17</f>
        <v>1</v>
      </c>
      <c r="C15" s="7" t="s">
        <v>16</v>
      </c>
    </row>
    <row r="16" customFormat="false" ht="15" hidden="false" customHeight="false" outlineLevel="0" collapsed="false">
      <c r="A16" s="7" t="s">
        <v>17</v>
      </c>
      <c r="B16" s="8" t="n">
        <f aca="false">Datos_Mexico!C10</f>
        <v>0.5</v>
      </c>
      <c r="C16" s="7" t="s">
        <v>16</v>
      </c>
    </row>
    <row r="17" customFormat="false" ht="15" hidden="false" customHeight="false" outlineLevel="0" collapsed="false">
      <c r="A17" s="7" t="s">
        <v>18</v>
      </c>
      <c r="B17" s="10" t="n">
        <f aca="false">Datos_Mexico!C27</f>
        <v>18104</v>
      </c>
      <c r="C17" s="7" t="s">
        <v>19</v>
      </c>
    </row>
    <row r="18" customFormat="false" ht="15" hidden="false" customHeight="false" outlineLevel="0" collapsed="false">
      <c r="A18" s="7" t="s">
        <v>20</v>
      </c>
      <c r="B18" s="8" t="n">
        <f aca="false">Datos_Mexico!C29</f>
        <v>0.369255413168361</v>
      </c>
      <c r="C18" s="7" t="s">
        <v>21</v>
      </c>
    </row>
    <row r="19" customFormat="false" ht="15" hidden="false" customHeight="false" outlineLevel="0" collapsed="false">
      <c r="A19" s="7" t="s">
        <v>22</v>
      </c>
      <c r="B19" s="10" t="n">
        <f aca="false">Datos_Mexico!C46</f>
        <v>2224</v>
      </c>
      <c r="C19" s="7" t="s">
        <v>23</v>
      </c>
    </row>
    <row r="20" customFormat="false" ht="15" hidden="false" customHeight="false" outlineLevel="0" collapsed="false">
      <c r="A20" s="7" t="s">
        <v>24</v>
      </c>
      <c r="B20" s="10" t="n">
        <f aca="false">Datos_Mexico!C50</f>
        <v>26</v>
      </c>
      <c r="C20" s="7" t="s">
        <v>25</v>
      </c>
    </row>
    <row r="21" customFormat="false" ht="15" hidden="false" customHeight="false" outlineLevel="0" collapsed="false">
      <c r="A21" s="7" t="s">
        <v>26</v>
      </c>
      <c r="B21" s="9" t="n">
        <f aca="false">Datos_Internacional!C9</f>
        <v>6.8</v>
      </c>
      <c r="C21" s="7" t="s">
        <v>27</v>
      </c>
    </row>
    <row r="22" customFormat="false" ht="15" hidden="false" customHeight="false" outlineLevel="0" collapsed="false">
      <c r="A22" s="7" t="s">
        <v>28</v>
      </c>
      <c r="B22" s="8" t="n">
        <f aca="false">Datos_Internacional!C22</f>
        <v>0.19</v>
      </c>
      <c r="C22" s="7" t="s">
        <v>29</v>
      </c>
    </row>
    <row r="23" customFormat="false" ht="15" hidden="false" customHeight="false" outlineLevel="0" collapsed="false">
      <c r="A23" s="7" t="s">
        <v>30</v>
      </c>
      <c r="B23" s="10" t="n">
        <f aca="false">Datos_Internacional!C37</f>
        <v>200000</v>
      </c>
      <c r="C23" s="7" t="s">
        <v>31</v>
      </c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4" t="s">
        <v>32</v>
      </c>
      <c r="B25" s="2"/>
      <c r="C25" s="2"/>
    </row>
    <row r="26" customFormat="false" ht="15" hidden="false" customHeight="false" outlineLevel="0" collapsed="false">
      <c r="A26" s="6" t="s">
        <v>33</v>
      </c>
      <c r="B26" s="6" t="s">
        <v>34</v>
      </c>
      <c r="C26" s="6" t="s">
        <v>35</v>
      </c>
    </row>
    <row r="27" customFormat="false" ht="15" hidden="false" customHeight="false" outlineLevel="0" collapsed="false">
      <c r="A27" s="11" t="s">
        <v>36</v>
      </c>
      <c r="B27" s="12" t="n">
        <f aca="false">Datos_Mexico!C7</f>
        <v>0.004</v>
      </c>
      <c r="C27" s="12" t="n">
        <f aca="false">Datos_Mexico!C8</f>
        <v>0.006</v>
      </c>
    </row>
    <row r="28" customFormat="false" ht="15" hidden="false" customHeight="false" outlineLevel="0" collapsed="false">
      <c r="A28" s="11" t="s">
        <v>37</v>
      </c>
      <c r="B28" s="12" t="n">
        <f aca="false">Datos_Mexico!C11</f>
        <v>0.027</v>
      </c>
      <c r="C28" s="12" t="n">
        <f aca="false">Datos_Mexico!C12</f>
        <v>0.037</v>
      </c>
    </row>
    <row r="29" customFormat="false" ht="15" hidden="false" customHeight="false" outlineLevel="0" collapsed="false">
      <c r="A29" s="11" t="s">
        <v>38</v>
      </c>
      <c r="B29" s="12" t="n">
        <f aca="false">Datos_Mexico!C15</f>
        <v>0.103</v>
      </c>
      <c r="C29" s="12" t="n">
        <f aca="false">Datos_Mexico!C16</f>
        <v>0.113</v>
      </c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2"/>
      <c r="B32" s="2"/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2"/>
      <c r="B34" s="2"/>
      <c r="C34" s="2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2"/>
      <c r="B37" s="2"/>
      <c r="C37" s="2"/>
    </row>
    <row r="38" customFormat="false" ht="15" hidden="false" customHeight="false" outlineLevel="0" collapsed="false">
      <c r="A38" s="2"/>
      <c r="B38" s="2"/>
      <c r="C38" s="2"/>
    </row>
    <row r="39" customFormat="false" ht="15" hidden="false" customHeight="false" outlineLevel="0" collapsed="false">
      <c r="A39" s="2"/>
      <c r="B39" s="2"/>
      <c r="C39" s="2"/>
    </row>
    <row r="40" customFormat="false" ht="15" hidden="false" customHeight="false" outlineLevel="0" collapsed="false">
      <c r="A40" s="2"/>
      <c r="B40" s="2"/>
      <c r="C40" s="2"/>
    </row>
    <row r="41" customFormat="false" ht="15" hidden="false" customHeight="false" outlineLevel="0" collapsed="false">
      <c r="A41" s="2"/>
      <c r="B41" s="2"/>
      <c r="C41" s="2"/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2"/>
      <c r="B43" s="2"/>
      <c r="C43" s="2"/>
    </row>
    <row r="44" customFormat="false" ht="15" hidden="false" customHeight="false" outlineLevel="0" collapsed="false">
      <c r="A44" s="2"/>
      <c r="B44" s="2"/>
      <c r="C44" s="2"/>
    </row>
    <row r="45" customFormat="false" ht="15" hidden="false" customHeight="false" outlineLevel="0" collapsed="false">
      <c r="A45" s="2"/>
      <c r="B45" s="2"/>
      <c r="C45" s="2"/>
    </row>
    <row r="46" customFormat="false" ht="15" hidden="false" customHeight="false" outlineLevel="0" collapsed="false">
      <c r="A46" s="2"/>
      <c r="B46" s="2"/>
      <c r="C46" s="2"/>
    </row>
    <row r="47" customFormat="false" ht="15" hidden="false" customHeight="false" outlineLevel="0" collapsed="false">
      <c r="A47" s="2"/>
      <c r="B47" s="2"/>
      <c r="C47" s="2"/>
    </row>
    <row r="48" customFormat="false" ht="15" hidden="false" customHeight="false" outlineLevel="0" collapsed="false">
      <c r="A48" s="2"/>
      <c r="B48" s="2"/>
      <c r="C48" s="2"/>
    </row>
    <row r="49" customFormat="false" ht="15" hidden="false" customHeight="false" outlineLevel="0" collapsed="false">
      <c r="A49" s="3" t="s">
        <v>39</v>
      </c>
      <c r="B49" s="2"/>
      <c r="C49" s="2"/>
    </row>
    <row r="50" customFormat="false" ht="15" hidden="false" customHeight="false" outlineLevel="0" collapsed="false">
      <c r="A50" s="3" t="s">
        <v>40</v>
      </c>
      <c r="B50" s="2"/>
      <c r="C50" s="2"/>
    </row>
  </sheetData>
  <mergeCells count="6">
    <mergeCell ref="A5:C5"/>
    <mergeCell ref="A6:C6"/>
    <mergeCell ref="A7:C7"/>
    <mergeCell ref="A8:C8"/>
    <mergeCell ref="A9:C9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54"/>
  </cols>
  <sheetData>
    <row r="1" customFormat="false" ht="17.35" hidden="false" customHeight="false" outlineLevel="0" collapsed="false">
      <c r="A1" s="1" t="s">
        <v>41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5.05" hidden="false" customHeight="false" outlineLevel="0" collapsed="false">
      <c r="A4" s="13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</row>
    <row r="5" customFormat="false" ht="57.45" hidden="false" customHeight="false" outlineLevel="0" collapsed="false">
      <c r="A5" s="7" t="n">
        <v>1</v>
      </c>
      <c r="B5" s="7" t="s">
        <v>52</v>
      </c>
      <c r="C5" s="7" t="s">
        <v>53</v>
      </c>
      <c r="D5" s="14" t="s">
        <v>54</v>
      </c>
      <c r="E5" s="15" t="s">
        <v>55</v>
      </c>
      <c r="F5" s="7" t="s">
        <v>56</v>
      </c>
      <c r="G5" s="7" t="s">
        <v>57</v>
      </c>
      <c r="H5" s="7" t="s">
        <v>58</v>
      </c>
      <c r="I5" s="7" t="s">
        <v>59</v>
      </c>
    </row>
    <row r="6" customFormat="false" ht="46.25" hidden="false" customHeight="false" outlineLevel="0" collapsed="false">
      <c r="A6" s="7" t="n">
        <v>2</v>
      </c>
      <c r="B6" s="7" t="s">
        <v>60</v>
      </c>
      <c r="C6" s="7" t="s">
        <v>61</v>
      </c>
      <c r="D6" s="14" t="s">
        <v>54</v>
      </c>
      <c r="E6" s="15" t="s">
        <v>55</v>
      </c>
      <c r="F6" s="7" t="s">
        <v>62</v>
      </c>
      <c r="G6" s="7" t="s">
        <v>63</v>
      </c>
      <c r="H6" s="7" t="s">
        <v>64</v>
      </c>
      <c r="I6" s="7" t="s">
        <v>65</v>
      </c>
    </row>
    <row r="7" customFormat="false" ht="57.45" hidden="false" customHeight="false" outlineLevel="0" collapsed="false">
      <c r="A7" s="7" t="n">
        <v>3</v>
      </c>
      <c r="B7" s="7" t="s">
        <v>66</v>
      </c>
      <c r="C7" s="7" t="s">
        <v>67</v>
      </c>
      <c r="D7" s="14" t="s">
        <v>54</v>
      </c>
      <c r="E7" s="15" t="s">
        <v>68</v>
      </c>
      <c r="F7" s="7" t="s">
        <v>69</v>
      </c>
      <c r="G7" s="7" t="s">
        <v>70</v>
      </c>
      <c r="H7" s="7" t="s">
        <v>71</v>
      </c>
      <c r="I7" s="7" t="s">
        <v>72</v>
      </c>
    </row>
    <row r="8" customFormat="false" ht="46.25" hidden="false" customHeight="false" outlineLevel="0" collapsed="false">
      <c r="A8" s="7" t="n">
        <v>4</v>
      </c>
      <c r="B8" s="7" t="s">
        <v>73</v>
      </c>
      <c r="C8" s="7" t="s">
        <v>74</v>
      </c>
      <c r="D8" s="14" t="s">
        <v>54</v>
      </c>
      <c r="E8" s="15" t="s">
        <v>75</v>
      </c>
      <c r="F8" s="7" t="s">
        <v>76</v>
      </c>
      <c r="G8" s="7" t="s">
        <v>77</v>
      </c>
      <c r="H8" s="7" t="s">
        <v>78</v>
      </c>
      <c r="I8" s="7" t="s">
        <v>79</v>
      </c>
    </row>
    <row r="9" customFormat="false" ht="57.45" hidden="false" customHeight="false" outlineLevel="0" collapsed="false">
      <c r="A9" s="7" t="n">
        <v>5</v>
      </c>
      <c r="B9" s="7" t="s">
        <v>80</v>
      </c>
      <c r="C9" s="7" t="s">
        <v>81</v>
      </c>
      <c r="D9" s="14" t="s">
        <v>54</v>
      </c>
      <c r="E9" s="15" t="s">
        <v>55</v>
      </c>
      <c r="F9" s="7" t="s">
        <v>82</v>
      </c>
      <c r="G9" s="7" t="s">
        <v>83</v>
      </c>
      <c r="H9" s="7" t="s">
        <v>84</v>
      </c>
      <c r="I9" s="7" t="s">
        <v>85</v>
      </c>
    </row>
    <row r="10" customFormat="false" ht="23.85" hidden="false" customHeight="false" outlineLevel="0" collapsed="false">
      <c r="A10" s="7" t="s">
        <v>86</v>
      </c>
      <c r="B10" s="7" t="s">
        <v>87</v>
      </c>
      <c r="C10" s="7" t="s">
        <v>88</v>
      </c>
      <c r="D10" s="15" t="s">
        <v>68</v>
      </c>
      <c r="E10" s="15" t="s">
        <v>68</v>
      </c>
      <c r="F10" s="7" t="s">
        <v>89</v>
      </c>
      <c r="G10" s="7" t="s">
        <v>90</v>
      </c>
      <c r="H10" s="7" t="s">
        <v>91</v>
      </c>
      <c r="I10" s="7" t="s">
        <v>92</v>
      </c>
    </row>
    <row r="11" customFormat="false" ht="35.05" hidden="false" customHeight="false" outlineLevel="0" collapsed="false">
      <c r="A11" s="7" t="s">
        <v>93</v>
      </c>
      <c r="B11" s="7" t="s">
        <v>94</v>
      </c>
      <c r="C11" s="7" t="s">
        <v>95</v>
      </c>
      <c r="D11" s="14" t="s">
        <v>54</v>
      </c>
      <c r="E11" s="15" t="s">
        <v>68</v>
      </c>
      <c r="F11" s="7" t="s">
        <v>96</v>
      </c>
      <c r="G11" s="7" t="s">
        <v>97</v>
      </c>
      <c r="H11" s="7" t="s">
        <v>98</v>
      </c>
      <c r="I11" s="7" t="s">
        <v>99</v>
      </c>
    </row>
    <row r="12" customFormat="false" ht="35.05" hidden="false" customHeight="false" outlineLevel="0" collapsed="false">
      <c r="A12" s="7" t="s">
        <v>100</v>
      </c>
      <c r="B12" s="7" t="s">
        <v>101</v>
      </c>
      <c r="C12" s="7" t="s">
        <v>102</v>
      </c>
      <c r="D12" s="15" t="s">
        <v>68</v>
      </c>
      <c r="E12" s="15" t="s">
        <v>68</v>
      </c>
      <c r="F12" s="7" t="s">
        <v>103</v>
      </c>
      <c r="G12" s="7" t="s">
        <v>104</v>
      </c>
      <c r="H12" s="7" t="s">
        <v>105</v>
      </c>
      <c r="I12" s="7" t="s">
        <v>106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3" t="s">
        <v>107</v>
      </c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16" t="s">
        <v>108</v>
      </c>
      <c r="B15" s="2"/>
      <c r="C15" s="2"/>
      <c r="D15" s="2"/>
      <c r="E15" s="2"/>
      <c r="F15" s="2"/>
      <c r="G15" s="2"/>
      <c r="H15" s="2"/>
      <c r="I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6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13" t="s">
        <v>43</v>
      </c>
      <c r="B3" s="13" t="s">
        <v>110</v>
      </c>
      <c r="C3" s="13" t="s">
        <v>111</v>
      </c>
      <c r="D3" s="13" t="s">
        <v>112</v>
      </c>
      <c r="E3" s="13" t="s">
        <v>113</v>
      </c>
      <c r="F3" s="13" t="s">
        <v>50</v>
      </c>
    </row>
    <row r="4" customFormat="false" ht="35.05" hidden="false" customHeight="false" outlineLevel="0" collapsed="false">
      <c r="A4" s="7" t="n">
        <v>1</v>
      </c>
      <c r="B4" s="7" t="s">
        <v>114</v>
      </c>
      <c r="C4" s="7" t="s">
        <v>115</v>
      </c>
      <c r="D4" s="17" t="s">
        <v>54</v>
      </c>
      <c r="E4" s="7" t="s">
        <v>116</v>
      </c>
      <c r="F4" s="7" t="s">
        <v>117</v>
      </c>
    </row>
    <row r="5" customFormat="false" ht="23.85" hidden="false" customHeight="false" outlineLevel="0" collapsed="false">
      <c r="A5" s="7" t="n">
        <v>2</v>
      </c>
      <c r="B5" s="7" t="s">
        <v>118</v>
      </c>
      <c r="C5" s="7" t="s">
        <v>119</v>
      </c>
      <c r="D5" s="17" t="s">
        <v>54</v>
      </c>
      <c r="E5" s="7" t="s">
        <v>120</v>
      </c>
      <c r="F5" s="7" t="s">
        <v>121</v>
      </c>
    </row>
    <row r="6" customFormat="false" ht="57.45" hidden="false" customHeight="false" outlineLevel="0" collapsed="false">
      <c r="A6" s="7" t="n">
        <v>3</v>
      </c>
      <c r="B6" s="7" t="s">
        <v>122</v>
      </c>
      <c r="C6" s="7" t="s">
        <v>123</v>
      </c>
      <c r="D6" s="17" t="s">
        <v>54</v>
      </c>
      <c r="E6" s="7" t="s">
        <v>124</v>
      </c>
      <c r="F6" s="7" t="s">
        <v>125</v>
      </c>
    </row>
    <row r="7" customFormat="false" ht="35.05" hidden="false" customHeight="false" outlineLevel="0" collapsed="false">
      <c r="A7" s="7" t="n">
        <v>4</v>
      </c>
      <c r="B7" s="7" t="s">
        <v>126</v>
      </c>
      <c r="C7" s="7" t="s">
        <v>127</v>
      </c>
      <c r="D7" s="15" t="s">
        <v>68</v>
      </c>
      <c r="E7" s="7" t="s">
        <v>128</v>
      </c>
      <c r="F7" s="7" t="s">
        <v>129</v>
      </c>
    </row>
    <row r="8" customFormat="false" ht="23.85" hidden="false" customHeight="false" outlineLevel="0" collapsed="false">
      <c r="A8" s="7" t="n">
        <v>5</v>
      </c>
      <c r="B8" s="7" t="s">
        <v>130</v>
      </c>
      <c r="C8" s="7" t="s">
        <v>131</v>
      </c>
      <c r="D8" s="17" t="s">
        <v>54</v>
      </c>
      <c r="E8" s="7" t="s">
        <v>132</v>
      </c>
      <c r="F8" s="7" t="s">
        <v>133</v>
      </c>
    </row>
    <row r="9" customFormat="false" ht="35.05" hidden="false" customHeight="false" outlineLevel="0" collapsed="false">
      <c r="A9" s="7" t="n">
        <v>6</v>
      </c>
      <c r="B9" s="7" t="s">
        <v>134</v>
      </c>
      <c r="C9" s="7" t="s">
        <v>135</v>
      </c>
      <c r="D9" s="15" t="s">
        <v>68</v>
      </c>
      <c r="E9" s="7" t="s">
        <v>136</v>
      </c>
      <c r="F9" s="7" t="s">
        <v>137</v>
      </c>
    </row>
    <row r="10" customFormat="false" ht="23.85" hidden="false" customHeight="false" outlineLevel="0" collapsed="false">
      <c r="A10" s="7" t="n">
        <v>7</v>
      </c>
      <c r="B10" s="7" t="s">
        <v>138</v>
      </c>
      <c r="C10" s="7" t="s">
        <v>139</v>
      </c>
      <c r="D10" s="15" t="s">
        <v>68</v>
      </c>
      <c r="E10" s="7" t="s">
        <v>140</v>
      </c>
      <c r="F10" s="7" t="s">
        <v>141</v>
      </c>
    </row>
    <row r="11" customFormat="false" ht="35.05" hidden="false" customHeight="false" outlineLevel="0" collapsed="false">
      <c r="A11" s="7" t="n">
        <v>8</v>
      </c>
      <c r="B11" s="7" t="s">
        <v>142</v>
      </c>
      <c r="C11" s="7" t="s">
        <v>143</v>
      </c>
      <c r="D11" s="15" t="s">
        <v>68</v>
      </c>
      <c r="E11" s="7" t="s">
        <v>144</v>
      </c>
      <c r="F11" s="7" t="s">
        <v>137</v>
      </c>
    </row>
    <row r="12" customFormat="false" ht="35.05" hidden="false" customHeight="false" outlineLevel="0" collapsed="false">
      <c r="A12" s="7" t="n">
        <v>9</v>
      </c>
      <c r="B12" s="7" t="s">
        <v>145</v>
      </c>
      <c r="C12" s="7" t="s">
        <v>146</v>
      </c>
      <c r="D12" s="15" t="s">
        <v>68</v>
      </c>
      <c r="E12" s="7" t="s">
        <v>147</v>
      </c>
      <c r="F12" s="7" t="s">
        <v>148</v>
      </c>
    </row>
    <row r="13" customFormat="false" ht="35.05" hidden="false" customHeight="false" outlineLevel="0" collapsed="false">
      <c r="A13" s="7" t="n">
        <v>10</v>
      </c>
      <c r="B13" s="7" t="s">
        <v>149</v>
      </c>
      <c r="C13" s="7" t="s">
        <v>150</v>
      </c>
      <c r="D13" s="15" t="s">
        <v>68</v>
      </c>
      <c r="E13" s="7" t="s">
        <v>151</v>
      </c>
      <c r="F13" s="7" t="s">
        <v>152</v>
      </c>
    </row>
    <row r="14" customFormat="false" ht="23.85" hidden="false" customHeight="false" outlineLevel="0" collapsed="false">
      <c r="A14" s="7" t="n">
        <v>11</v>
      </c>
      <c r="B14" s="7" t="s">
        <v>153</v>
      </c>
      <c r="C14" s="7" t="s">
        <v>154</v>
      </c>
      <c r="D14" s="15" t="s">
        <v>68</v>
      </c>
      <c r="E14" s="7" t="s">
        <v>155</v>
      </c>
      <c r="F14" s="7" t="s">
        <v>156</v>
      </c>
    </row>
    <row r="15" customFormat="false" ht="23.85" hidden="false" customHeight="false" outlineLevel="0" collapsed="false">
      <c r="A15" s="7" t="n">
        <v>12</v>
      </c>
      <c r="B15" s="7" t="s">
        <v>157</v>
      </c>
      <c r="C15" s="7" t="s">
        <v>158</v>
      </c>
      <c r="D15" s="14" t="s">
        <v>159</v>
      </c>
      <c r="E15" s="7" t="s">
        <v>160</v>
      </c>
      <c r="F15" s="7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52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162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3" t="s">
        <v>43</v>
      </c>
      <c r="B3" s="13" t="s">
        <v>163</v>
      </c>
      <c r="C3" s="13" t="s">
        <v>164</v>
      </c>
      <c r="D3" s="13" t="s">
        <v>165</v>
      </c>
      <c r="E3" s="13" t="s">
        <v>166</v>
      </c>
      <c r="F3" s="13" t="s">
        <v>167</v>
      </c>
      <c r="G3" s="13" t="s">
        <v>50</v>
      </c>
    </row>
    <row r="4" customFormat="false" ht="23.85" hidden="false" customHeight="false" outlineLevel="0" collapsed="false">
      <c r="A4" s="7" t="n">
        <v>1</v>
      </c>
      <c r="B4" s="7" t="s">
        <v>168</v>
      </c>
      <c r="C4" s="7" t="s">
        <v>169</v>
      </c>
      <c r="D4" s="7" t="s">
        <v>170</v>
      </c>
      <c r="E4" s="17" t="s">
        <v>171</v>
      </c>
      <c r="F4" s="7" t="s">
        <v>172</v>
      </c>
      <c r="G4" s="7" t="s">
        <v>64</v>
      </c>
    </row>
    <row r="5" customFormat="false" ht="23.85" hidden="false" customHeight="false" outlineLevel="0" collapsed="false">
      <c r="A5" s="7" t="n">
        <v>2</v>
      </c>
      <c r="B5" s="7" t="s">
        <v>173</v>
      </c>
      <c r="C5" s="7" t="s">
        <v>174</v>
      </c>
      <c r="D5" s="7" t="s">
        <v>175</v>
      </c>
      <c r="E5" s="17" t="s">
        <v>171</v>
      </c>
      <c r="F5" s="7" t="s">
        <v>176</v>
      </c>
      <c r="G5" s="7" t="s">
        <v>137</v>
      </c>
    </row>
    <row r="6" customFormat="false" ht="23.85" hidden="false" customHeight="false" outlineLevel="0" collapsed="false">
      <c r="A6" s="7" t="n">
        <v>3</v>
      </c>
      <c r="B6" s="7" t="s">
        <v>177</v>
      </c>
      <c r="C6" s="7" t="s">
        <v>178</v>
      </c>
      <c r="D6" s="7" t="s">
        <v>179</v>
      </c>
      <c r="E6" s="17" t="s">
        <v>171</v>
      </c>
      <c r="F6" s="7" t="s">
        <v>180</v>
      </c>
      <c r="G6" s="7" t="s">
        <v>181</v>
      </c>
    </row>
    <row r="7" customFormat="false" ht="23.85" hidden="false" customHeight="false" outlineLevel="0" collapsed="false">
      <c r="A7" s="7" t="n">
        <v>4</v>
      </c>
      <c r="B7" s="7" t="s">
        <v>182</v>
      </c>
      <c r="C7" s="7" t="s">
        <v>183</v>
      </c>
      <c r="D7" s="7" t="s">
        <v>175</v>
      </c>
      <c r="E7" s="15" t="s">
        <v>54</v>
      </c>
      <c r="F7" s="7" t="s">
        <v>184</v>
      </c>
      <c r="G7" s="7" t="s">
        <v>137</v>
      </c>
    </row>
    <row r="8" customFormat="false" ht="35.05" hidden="false" customHeight="false" outlineLevel="0" collapsed="false">
      <c r="A8" s="7" t="n">
        <v>5</v>
      </c>
      <c r="B8" s="7" t="s">
        <v>185</v>
      </c>
      <c r="C8" s="7" t="s">
        <v>186</v>
      </c>
      <c r="D8" s="7" t="s">
        <v>187</v>
      </c>
      <c r="E8" s="15" t="s">
        <v>54</v>
      </c>
      <c r="F8" s="7" t="s">
        <v>188</v>
      </c>
      <c r="G8" s="7" t="s">
        <v>189</v>
      </c>
    </row>
    <row r="9" customFormat="false" ht="23.85" hidden="false" customHeight="false" outlineLevel="0" collapsed="false">
      <c r="A9" s="7" t="n">
        <v>6</v>
      </c>
      <c r="B9" s="7" t="s">
        <v>190</v>
      </c>
      <c r="C9" s="7" t="s">
        <v>191</v>
      </c>
      <c r="D9" s="7" t="s">
        <v>192</v>
      </c>
      <c r="E9" s="14" t="s">
        <v>68</v>
      </c>
      <c r="F9" s="7" t="s">
        <v>193</v>
      </c>
      <c r="G9" s="7" t="s">
        <v>105</v>
      </c>
    </row>
    <row r="10" customFormat="false" ht="23.85" hidden="false" customHeight="false" outlineLevel="0" collapsed="false">
      <c r="A10" s="7" t="n">
        <v>7</v>
      </c>
      <c r="B10" s="7" t="s">
        <v>194</v>
      </c>
      <c r="C10" s="7" t="s">
        <v>195</v>
      </c>
      <c r="D10" s="7" t="s">
        <v>196</v>
      </c>
      <c r="E10" s="14" t="s">
        <v>68</v>
      </c>
      <c r="F10" s="7" t="s">
        <v>197</v>
      </c>
      <c r="G10" s="7" t="s">
        <v>137</v>
      </c>
    </row>
    <row r="11" customFormat="false" ht="23.85" hidden="false" customHeight="false" outlineLevel="0" collapsed="false">
      <c r="A11" s="7" t="n">
        <v>8</v>
      </c>
      <c r="B11" s="7" t="s">
        <v>198</v>
      </c>
      <c r="C11" s="7" t="s">
        <v>199</v>
      </c>
      <c r="D11" s="7" t="s">
        <v>200</v>
      </c>
      <c r="E11" s="14" t="s">
        <v>68</v>
      </c>
      <c r="F11" s="7" t="s">
        <v>201</v>
      </c>
      <c r="G11" s="7" t="s">
        <v>137</v>
      </c>
    </row>
    <row r="12" customFormat="false" ht="35.05" hidden="false" customHeight="false" outlineLevel="0" collapsed="false">
      <c r="A12" s="7" t="n">
        <v>9</v>
      </c>
      <c r="B12" s="7" t="s">
        <v>202</v>
      </c>
      <c r="C12" s="7" t="s">
        <v>203</v>
      </c>
      <c r="D12" s="7" t="s">
        <v>204</v>
      </c>
      <c r="E12" s="15" t="s">
        <v>54</v>
      </c>
      <c r="F12" s="7" t="s">
        <v>205</v>
      </c>
      <c r="G12" s="7" t="s">
        <v>25</v>
      </c>
    </row>
    <row r="13" customFormat="false" ht="23.85" hidden="false" customHeight="false" outlineLevel="0" collapsed="false">
      <c r="A13" s="7" t="n">
        <v>10</v>
      </c>
      <c r="B13" s="7" t="s">
        <v>206</v>
      </c>
      <c r="C13" s="7" t="s">
        <v>207</v>
      </c>
      <c r="D13" s="7" t="s">
        <v>208</v>
      </c>
      <c r="E13" s="14" t="s">
        <v>68</v>
      </c>
      <c r="F13" s="7" t="s">
        <v>209</v>
      </c>
      <c r="G13" s="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9" min="3" style="0" width="15"/>
  </cols>
  <sheetData>
    <row r="1" customFormat="false" ht="17.35" hidden="false" customHeight="false" outlineLevel="0" collapsed="false">
      <c r="A1" s="1" t="s">
        <v>210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13" t="s">
        <v>212</v>
      </c>
      <c r="B4" s="13" t="s">
        <v>213</v>
      </c>
      <c r="C4" s="13" t="s">
        <v>214</v>
      </c>
      <c r="D4" s="13" t="s">
        <v>215</v>
      </c>
      <c r="E4" s="13" t="s">
        <v>216</v>
      </c>
      <c r="F4" s="13" t="s">
        <v>217</v>
      </c>
      <c r="G4" s="13" t="s">
        <v>218</v>
      </c>
      <c r="H4" s="13" t="s">
        <v>219</v>
      </c>
      <c r="I4" s="13" t="s">
        <v>220</v>
      </c>
    </row>
    <row r="5" customFormat="false" ht="15" hidden="false" customHeight="false" outlineLevel="0" collapsed="false">
      <c r="A5" s="7" t="s">
        <v>221</v>
      </c>
      <c r="B5" s="18" t="n">
        <v>0.2</v>
      </c>
      <c r="C5" s="19" t="n">
        <v>1</v>
      </c>
      <c r="D5" s="19" t="n">
        <v>1</v>
      </c>
      <c r="E5" s="19" t="n">
        <v>2</v>
      </c>
      <c r="F5" s="19" t="n">
        <v>2</v>
      </c>
      <c r="G5" s="19" t="n">
        <v>4</v>
      </c>
      <c r="H5" s="19" t="n">
        <v>5</v>
      </c>
      <c r="I5" s="19" t="n">
        <v>5</v>
      </c>
    </row>
    <row r="6" customFormat="false" ht="15" hidden="false" customHeight="false" outlineLevel="0" collapsed="false">
      <c r="A6" s="7" t="s">
        <v>222</v>
      </c>
      <c r="B6" s="18" t="n">
        <v>0.15</v>
      </c>
      <c r="C6" s="19" t="n">
        <v>1</v>
      </c>
      <c r="D6" s="19" t="n">
        <v>2</v>
      </c>
      <c r="E6" s="19" t="n">
        <v>4</v>
      </c>
      <c r="F6" s="19" t="n">
        <v>3</v>
      </c>
      <c r="G6" s="19" t="n">
        <v>3</v>
      </c>
      <c r="H6" s="19" t="n">
        <v>5</v>
      </c>
      <c r="I6" s="19" t="n">
        <v>5</v>
      </c>
    </row>
    <row r="7" customFormat="false" ht="15" hidden="false" customHeight="false" outlineLevel="0" collapsed="false">
      <c r="A7" s="7" t="s">
        <v>223</v>
      </c>
      <c r="B7" s="18" t="n">
        <v>0.15</v>
      </c>
      <c r="C7" s="19" t="n">
        <v>5</v>
      </c>
      <c r="D7" s="19" t="n">
        <v>4</v>
      </c>
      <c r="E7" s="19" t="n">
        <v>3</v>
      </c>
      <c r="F7" s="19" t="n">
        <v>4</v>
      </c>
      <c r="G7" s="19" t="n">
        <v>2</v>
      </c>
      <c r="H7" s="19" t="n">
        <v>2</v>
      </c>
      <c r="I7" s="19" t="n">
        <v>2</v>
      </c>
    </row>
    <row r="8" customFormat="false" ht="15" hidden="false" customHeight="false" outlineLevel="0" collapsed="false">
      <c r="A8" s="7" t="s">
        <v>224</v>
      </c>
      <c r="B8" s="18" t="n">
        <v>0.2</v>
      </c>
      <c r="C8" s="19" t="n">
        <v>5</v>
      </c>
      <c r="D8" s="19" t="n">
        <v>5</v>
      </c>
      <c r="E8" s="19" t="n">
        <v>4</v>
      </c>
      <c r="F8" s="19" t="n">
        <v>4</v>
      </c>
      <c r="G8" s="19" t="n">
        <v>2</v>
      </c>
      <c r="H8" s="19" t="n">
        <v>1</v>
      </c>
      <c r="I8" s="19" t="n">
        <v>3</v>
      </c>
    </row>
    <row r="9" customFormat="false" ht="15" hidden="false" customHeight="false" outlineLevel="0" collapsed="false">
      <c r="A9" s="7" t="s">
        <v>225</v>
      </c>
      <c r="B9" s="18" t="n">
        <v>0.1</v>
      </c>
      <c r="C9" s="19" t="n">
        <v>2</v>
      </c>
      <c r="D9" s="19" t="n">
        <v>3</v>
      </c>
      <c r="E9" s="19" t="n">
        <v>3</v>
      </c>
      <c r="F9" s="19" t="n">
        <v>3</v>
      </c>
      <c r="G9" s="19" t="n">
        <v>4</v>
      </c>
      <c r="H9" s="19" t="n">
        <v>4</v>
      </c>
      <c r="I9" s="19" t="n">
        <v>4</v>
      </c>
    </row>
    <row r="10" customFormat="false" ht="23.85" hidden="false" customHeight="false" outlineLevel="0" collapsed="false">
      <c r="A10" s="7" t="s">
        <v>226</v>
      </c>
      <c r="B10" s="18" t="n">
        <v>0.1</v>
      </c>
      <c r="C10" s="19" t="n">
        <v>2</v>
      </c>
      <c r="D10" s="19" t="n">
        <v>3</v>
      </c>
      <c r="E10" s="19" t="n">
        <v>4</v>
      </c>
      <c r="F10" s="19" t="n">
        <v>3</v>
      </c>
      <c r="G10" s="19" t="n">
        <v>4</v>
      </c>
      <c r="H10" s="19" t="n">
        <v>5</v>
      </c>
      <c r="I10" s="19" t="n">
        <v>5</v>
      </c>
    </row>
    <row r="11" customFormat="false" ht="15" hidden="false" customHeight="false" outlineLevel="0" collapsed="false">
      <c r="A11" s="7" t="s">
        <v>227</v>
      </c>
      <c r="B11" s="18" t="n">
        <v>0.1</v>
      </c>
      <c r="C11" s="19" t="n">
        <v>5</v>
      </c>
      <c r="D11" s="19" t="n">
        <v>3</v>
      </c>
      <c r="E11" s="19" t="n">
        <v>3</v>
      </c>
      <c r="F11" s="19" t="n">
        <v>3</v>
      </c>
      <c r="G11" s="19" t="n">
        <v>2</v>
      </c>
      <c r="H11" s="19" t="n">
        <v>2</v>
      </c>
      <c r="I11" s="19" t="n">
        <v>2</v>
      </c>
    </row>
    <row r="12" customFormat="false" ht="15" hidden="false" customHeight="false" outlineLevel="0" collapsed="false">
      <c r="A12" s="20" t="s">
        <v>228</v>
      </c>
      <c r="B12" s="21" t="n">
        <f aca="false">SUM(B5:B11)</f>
        <v>1</v>
      </c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0" t="s">
        <v>229</v>
      </c>
      <c r="B13" s="2"/>
      <c r="C13" s="22" t="n">
        <f aca="false">SUMPRODUCT($B$5:$B$11,C5:C11)</f>
        <v>3</v>
      </c>
      <c r="D13" s="22" t="n">
        <f aca="false">SUMPRODUCT($B$5:$B$11,D5:D11)</f>
        <v>3</v>
      </c>
      <c r="E13" s="22" t="n">
        <f aca="false">SUMPRODUCT($B$5:$B$11,E5:E11)</f>
        <v>3.25</v>
      </c>
      <c r="F13" s="22" t="n">
        <f aca="false">SUMPRODUCT($B$5:$B$11,F5:F11)</f>
        <v>3.15</v>
      </c>
      <c r="G13" s="22" t="n">
        <f aca="false">SUMPRODUCT($B$5:$B$11,G5:G11)</f>
        <v>2.95</v>
      </c>
      <c r="H13" s="22" t="n">
        <f aca="false">SUMPRODUCT($B$5:$B$11,H5:H11)</f>
        <v>3.35</v>
      </c>
      <c r="I13" s="22" t="n">
        <f aca="false">SUMPRODUCT($B$5:$B$11,I5:I11)</f>
        <v>3.75</v>
      </c>
    </row>
    <row r="14" customFormat="false" ht="15" hidden="false" customHeight="false" outlineLevel="0" collapsed="false">
      <c r="A14" s="20" t="s">
        <v>230</v>
      </c>
      <c r="B14" s="2"/>
      <c r="C14" s="23" t="n">
        <f aca="false">RANK(C13,$C$13:$I$13)</f>
        <v>5</v>
      </c>
      <c r="D14" s="23" t="n">
        <f aca="false">RANK(D13,$C$13:$I$13)</f>
        <v>5</v>
      </c>
      <c r="E14" s="23" t="n">
        <f aca="false">RANK(E13,$C$13:$I$13)</f>
        <v>3</v>
      </c>
      <c r="F14" s="23" t="n">
        <f aca="false">RANK(F13,$C$13:$I$13)</f>
        <v>4</v>
      </c>
      <c r="G14" s="23" t="n">
        <f aca="false">RANK(G13,$C$13:$I$13)</f>
        <v>7</v>
      </c>
      <c r="H14" s="23" t="n">
        <f aca="false">RANK(H13,$C$13:$I$13)</f>
        <v>2</v>
      </c>
      <c r="I14" s="23" t="n">
        <f aca="false">RANK(I13,$C$13:$I$13)</f>
        <v>1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3" t="s">
        <v>231</v>
      </c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3" t="s">
        <v>232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3" t="s">
        <v>233</v>
      </c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3" t="s">
        <v>234</v>
      </c>
      <c r="B19" s="2"/>
      <c r="C19" s="2"/>
      <c r="D19" s="2"/>
      <c r="E19" s="2"/>
      <c r="F19" s="2"/>
      <c r="G19" s="2"/>
      <c r="H19" s="2"/>
      <c r="I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235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236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13" t="s">
        <v>237</v>
      </c>
      <c r="B4" s="13" t="s">
        <v>10</v>
      </c>
      <c r="C4" s="13" t="s">
        <v>11</v>
      </c>
      <c r="D4" s="13" t="s">
        <v>238</v>
      </c>
      <c r="E4" s="13" t="s">
        <v>239</v>
      </c>
      <c r="F4" s="13" t="s">
        <v>240</v>
      </c>
      <c r="G4" s="13" t="s">
        <v>241</v>
      </c>
      <c r="H4" s="13" t="s">
        <v>242</v>
      </c>
    </row>
    <row r="5" customFormat="false" ht="15" hidden="false" customHeight="false" outlineLevel="0" collapsed="false">
      <c r="A5" s="24" t="s">
        <v>243</v>
      </c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7" t="s">
        <v>244</v>
      </c>
      <c r="B6" s="7" t="s">
        <v>245</v>
      </c>
      <c r="C6" s="26" t="n">
        <v>33062447</v>
      </c>
      <c r="D6" s="7" t="s">
        <v>246</v>
      </c>
      <c r="E6" s="7" t="s">
        <v>247</v>
      </c>
      <c r="F6" s="7" t="s">
        <v>248</v>
      </c>
      <c r="G6" s="7" t="s">
        <v>249</v>
      </c>
      <c r="H6" s="7" t="s">
        <v>250</v>
      </c>
    </row>
    <row r="7" customFormat="false" ht="15" hidden="false" customHeight="false" outlineLevel="0" collapsed="false">
      <c r="A7" s="7" t="s">
        <v>251</v>
      </c>
      <c r="B7" s="7" t="s">
        <v>252</v>
      </c>
      <c r="C7" s="27" t="n">
        <v>0.004</v>
      </c>
      <c r="D7" s="7" t="s">
        <v>253</v>
      </c>
      <c r="E7" s="7" t="s">
        <v>254</v>
      </c>
      <c r="F7" s="7" t="s">
        <v>98</v>
      </c>
      <c r="G7" s="7" t="s">
        <v>255</v>
      </c>
      <c r="H7" s="7" t="s">
        <v>256</v>
      </c>
    </row>
    <row r="8" customFormat="false" ht="15" hidden="false" customHeight="false" outlineLevel="0" collapsed="false">
      <c r="A8" s="7" t="s">
        <v>257</v>
      </c>
      <c r="B8" s="7" t="s">
        <v>252</v>
      </c>
      <c r="C8" s="27" t="n">
        <v>0.006</v>
      </c>
      <c r="D8" s="7" t="s">
        <v>253</v>
      </c>
      <c r="E8" s="7" t="s">
        <v>247</v>
      </c>
      <c r="F8" s="7" t="s">
        <v>98</v>
      </c>
      <c r="G8" s="7" t="s">
        <v>255</v>
      </c>
      <c r="H8" s="7" t="s">
        <v>258</v>
      </c>
    </row>
    <row r="9" customFormat="false" ht="15" hidden="false" customHeight="false" outlineLevel="0" collapsed="false">
      <c r="A9" s="7" t="s">
        <v>259</v>
      </c>
      <c r="B9" s="7" t="s">
        <v>260</v>
      </c>
      <c r="C9" s="28" t="n">
        <f aca="false">(C8-C7)*100</f>
        <v>0.2</v>
      </c>
      <c r="D9" s="7" t="s">
        <v>261</v>
      </c>
      <c r="E9" s="7" t="s">
        <v>262</v>
      </c>
      <c r="F9" s="7" t="s">
        <v>263</v>
      </c>
      <c r="G9" s="7" t="s">
        <v>255</v>
      </c>
      <c r="H9" s="7" t="s">
        <v>264</v>
      </c>
    </row>
    <row r="10" customFormat="false" ht="15" hidden="false" customHeight="false" outlineLevel="0" collapsed="false">
      <c r="A10" s="7" t="s">
        <v>265</v>
      </c>
      <c r="B10" s="7" t="s">
        <v>266</v>
      </c>
      <c r="C10" s="29" t="n">
        <f aca="false">C8/C7-1</f>
        <v>0.5</v>
      </c>
      <c r="D10" s="7" t="s">
        <v>267</v>
      </c>
      <c r="E10" s="7" t="s">
        <v>262</v>
      </c>
      <c r="F10" s="7" t="s">
        <v>263</v>
      </c>
      <c r="G10" s="7" t="s">
        <v>255</v>
      </c>
      <c r="H10" s="7" t="s">
        <v>268</v>
      </c>
    </row>
    <row r="11" customFormat="false" ht="15" hidden="false" customHeight="false" outlineLevel="0" collapsed="false">
      <c r="A11" s="7" t="s">
        <v>269</v>
      </c>
      <c r="B11" s="7" t="s">
        <v>270</v>
      </c>
      <c r="C11" s="27" t="n">
        <v>0.027</v>
      </c>
      <c r="D11" s="7" t="s">
        <v>253</v>
      </c>
      <c r="E11" s="7" t="s">
        <v>254</v>
      </c>
      <c r="F11" s="7" t="s">
        <v>98</v>
      </c>
      <c r="G11" s="7" t="s">
        <v>255</v>
      </c>
      <c r="H11" s="7" t="s">
        <v>256</v>
      </c>
    </row>
    <row r="12" customFormat="false" ht="15" hidden="false" customHeight="false" outlineLevel="0" collapsed="false">
      <c r="A12" s="7" t="s">
        <v>271</v>
      </c>
      <c r="B12" s="7" t="s">
        <v>270</v>
      </c>
      <c r="C12" s="27" t="n">
        <v>0.037</v>
      </c>
      <c r="D12" s="7" t="s">
        <v>253</v>
      </c>
      <c r="E12" s="7" t="s">
        <v>247</v>
      </c>
      <c r="F12" s="7" t="s">
        <v>98</v>
      </c>
      <c r="G12" s="7" t="s">
        <v>255</v>
      </c>
      <c r="H12" s="7" t="s">
        <v>258</v>
      </c>
    </row>
    <row r="13" customFormat="false" ht="15" hidden="false" customHeight="false" outlineLevel="0" collapsed="false">
      <c r="A13" s="7" t="s">
        <v>272</v>
      </c>
      <c r="B13" s="7" t="s">
        <v>273</v>
      </c>
      <c r="C13" s="28" t="n">
        <f aca="false">(C12-C11)*100</f>
        <v>1</v>
      </c>
      <c r="D13" s="7" t="s">
        <v>261</v>
      </c>
      <c r="E13" s="7" t="s">
        <v>262</v>
      </c>
      <c r="F13" s="7" t="s">
        <v>263</v>
      </c>
      <c r="G13" s="7" t="s">
        <v>255</v>
      </c>
      <c r="H13" s="7" t="s">
        <v>264</v>
      </c>
    </row>
    <row r="14" customFormat="false" ht="15" hidden="false" customHeight="false" outlineLevel="0" collapsed="false">
      <c r="A14" s="7" t="s">
        <v>274</v>
      </c>
      <c r="B14" s="7" t="s">
        <v>275</v>
      </c>
      <c r="C14" s="29" t="n">
        <f aca="false">C12/C11-1</f>
        <v>0.37037037037037</v>
      </c>
      <c r="D14" s="7" t="s">
        <v>267</v>
      </c>
      <c r="E14" s="7" t="s">
        <v>262</v>
      </c>
      <c r="F14" s="7" t="s">
        <v>263</v>
      </c>
      <c r="G14" s="7" t="s">
        <v>255</v>
      </c>
      <c r="H14" s="7" t="s">
        <v>268</v>
      </c>
    </row>
    <row r="15" customFormat="false" ht="15" hidden="false" customHeight="false" outlineLevel="0" collapsed="false">
      <c r="A15" s="7" t="s">
        <v>276</v>
      </c>
      <c r="B15" s="7" t="s">
        <v>277</v>
      </c>
      <c r="C15" s="27" t="n">
        <v>0.103</v>
      </c>
      <c r="D15" s="7" t="s">
        <v>253</v>
      </c>
      <c r="E15" s="7" t="s">
        <v>254</v>
      </c>
      <c r="F15" s="7" t="s">
        <v>98</v>
      </c>
      <c r="G15" s="7" t="s">
        <v>255</v>
      </c>
      <c r="H15" s="7" t="s">
        <v>256</v>
      </c>
    </row>
    <row r="16" customFormat="false" ht="15" hidden="false" customHeight="false" outlineLevel="0" collapsed="false">
      <c r="A16" s="7" t="s">
        <v>278</v>
      </c>
      <c r="B16" s="7" t="s">
        <v>277</v>
      </c>
      <c r="C16" s="27" t="n">
        <v>0.113</v>
      </c>
      <c r="D16" s="7" t="s">
        <v>253</v>
      </c>
      <c r="E16" s="7" t="s">
        <v>247</v>
      </c>
      <c r="F16" s="7" t="s">
        <v>98</v>
      </c>
      <c r="G16" s="7" t="s">
        <v>255</v>
      </c>
      <c r="H16" s="7" t="s">
        <v>258</v>
      </c>
    </row>
    <row r="17" customFormat="false" ht="15" hidden="false" customHeight="false" outlineLevel="0" collapsed="false">
      <c r="A17" s="7" t="s">
        <v>279</v>
      </c>
      <c r="B17" s="7" t="s">
        <v>280</v>
      </c>
      <c r="C17" s="28" t="n">
        <f aca="false">(C16-C15)*100</f>
        <v>1</v>
      </c>
      <c r="D17" s="7" t="s">
        <v>261</v>
      </c>
      <c r="E17" s="7" t="s">
        <v>262</v>
      </c>
      <c r="F17" s="7" t="s">
        <v>263</v>
      </c>
      <c r="G17" s="7" t="s">
        <v>255</v>
      </c>
      <c r="H17" s="7" t="s">
        <v>264</v>
      </c>
    </row>
    <row r="18" customFormat="false" ht="15" hidden="false" customHeight="false" outlineLevel="0" collapsed="false">
      <c r="A18" s="7" t="s">
        <v>281</v>
      </c>
      <c r="B18" s="7" t="s">
        <v>282</v>
      </c>
      <c r="C18" s="29" t="n">
        <f aca="false">C16/C15-1</f>
        <v>0.0970873786407769</v>
      </c>
      <c r="D18" s="7" t="s">
        <v>267</v>
      </c>
      <c r="E18" s="7" t="s">
        <v>262</v>
      </c>
      <c r="F18" s="7" t="s">
        <v>263</v>
      </c>
      <c r="G18" s="7" t="s">
        <v>255</v>
      </c>
      <c r="H18" s="7" t="s">
        <v>268</v>
      </c>
    </row>
    <row r="19" customFormat="false" ht="23.85" hidden="false" customHeight="false" outlineLevel="0" collapsed="false">
      <c r="A19" s="7" t="s">
        <v>283</v>
      </c>
      <c r="B19" s="7" t="s">
        <v>284</v>
      </c>
      <c r="C19" s="30" t="s">
        <v>285</v>
      </c>
      <c r="D19" s="7" t="s">
        <v>286</v>
      </c>
      <c r="E19" s="7" t="s">
        <v>35</v>
      </c>
      <c r="F19" s="7" t="s">
        <v>287</v>
      </c>
      <c r="G19" s="7" t="s">
        <v>255</v>
      </c>
      <c r="H19" s="7" t="s">
        <v>288</v>
      </c>
    </row>
    <row r="20" customFormat="false" ht="23.85" hidden="false" customHeight="false" outlineLevel="0" collapsed="false">
      <c r="A20" s="7" t="s">
        <v>289</v>
      </c>
      <c r="B20" s="7" t="s">
        <v>290</v>
      </c>
      <c r="C20" s="30" t="s">
        <v>291</v>
      </c>
      <c r="D20" s="7" t="s">
        <v>286</v>
      </c>
      <c r="E20" s="7" t="s">
        <v>292</v>
      </c>
      <c r="F20" s="7" t="s">
        <v>161</v>
      </c>
      <c r="G20" s="7" t="s">
        <v>249</v>
      </c>
      <c r="H20" s="7" t="s">
        <v>293</v>
      </c>
    </row>
    <row r="21" customFormat="false" ht="15" hidden="false" customHeight="false" outlineLevel="0" collapsed="false">
      <c r="A21" s="24" t="s">
        <v>294</v>
      </c>
      <c r="B21" s="25"/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A22" s="7" t="s">
        <v>295</v>
      </c>
      <c r="B22" s="7" t="s">
        <v>296</v>
      </c>
      <c r="C22" s="26" t="n">
        <v>365024</v>
      </c>
      <c r="D22" s="7" t="s">
        <v>297</v>
      </c>
      <c r="E22" s="7" t="s">
        <v>298</v>
      </c>
      <c r="F22" s="7" t="s">
        <v>299</v>
      </c>
      <c r="G22" s="7" t="s">
        <v>300</v>
      </c>
      <c r="H22" s="7" t="s">
        <v>301</v>
      </c>
    </row>
    <row r="23" customFormat="false" ht="23.85" hidden="false" customHeight="false" outlineLevel="0" collapsed="false">
      <c r="A23" s="7" t="s">
        <v>302</v>
      </c>
      <c r="B23" s="7" t="s">
        <v>303</v>
      </c>
      <c r="C23" s="26" t="n">
        <v>12961</v>
      </c>
      <c r="D23" s="7" t="s">
        <v>297</v>
      </c>
      <c r="E23" s="7" t="s">
        <v>304</v>
      </c>
      <c r="F23" s="7" t="s">
        <v>305</v>
      </c>
      <c r="G23" s="7" t="s">
        <v>300</v>
      </c>
      <c r="H23" s="7" t="s">
        <v>306</v>
      </c>
    </row>
    <row r="24" customFormat="false" ht="15" hidden="false" customHeight="false" outlineLevel="0" collapsed="false">
      <c r="A24" s="7" t="s">
        <v>307</v>
      </c>
      <c r="B24" s="7" t="s">
        <v>308</v>
      </c>
      <c r="C24" s="26" t="n">
        <v>35</v>
      </c>
      <c r="D24" s="7" t="s">
        <v>309</v>
      </c>
      <c r="E24" s="7" t="s">
        <v>310</v>
      </c>
      <c r="F24" s="7" t="s">
        <v>305</v>
      </c>
      <c r="G24" s="7" t="s">
        <v>300</v>
      </c>
      <c r="H24" s="7" t="s">
        <v>311</v>
      </c>
    </row>
    <row r="25" customFormat="false" ht="23.85" hidden="false" customHeight="false" outlineLevel="0" collapsed="false">
      <c r="A25" s="7" t="s">
        <v>312</v>
      </c>
      <c r="B25" s="7" t="s">
        <v>313</v>
      </c>
      <c r="C25" s="26" t="n">
        <v>5</v>
      </c>
      <c r="D25" s="7" t="s">
        <v>314</v>
      </c>
      <c r="E25" s="7" t="s">
        <v>310</v>
      </c>
      <c r="F25" s="7" t="s">
        <v>305</v>
      </c>
      <c r="G25" s="7" t="s">
        <v>300</v>
      </c>
      <c r="H25" s="7" t="s">
        <v>315</v>
      </c>
    </row>
    <row r="26" customFormat="false" ht="15" hidden="false" customHeight="false" outlineLevel="0" collapsed="false">
      <c r="A26" s="7" t="s">
        <v>316</v>
      </c>
      <c r="B26" s="7" t="s">
        <v>317</v>
      </c>
      <c r="C26" s="29" t="n">
        <f aca="false">C25/C24</f>
        <v>0.142857142857143</v>
      </c>
      <c r="D26" s="7" t="s">
        <v>267</v>
      </c>
      <c r="E26" s="7" t="s">
        <v>263</v>
      </c>
      <c r="F26" s="7" t="s">
        <v>263</v>
      </c>
      <c r="G26" s="7" t="s">
        <v>300</v>
      </c>
      <c r="H26" s="7" t="s">
        <v>318</v>
      </c>
    </row>
    <row r="27" customFormat="false" ht="23.85" hidden="false" customHeight="false" outlineLevel="0" collapsed="false">
      <c r="A27" s="7" t="s">
        <v>319</v>
      </c>
      <c r="B27" s="7" t="s">
        <v>320</v>
      </c>
      <c r="C27" s="26" t="n">
        <v>18104</v>
      </c>
      <c r="D27" s="7" t="s">
        <v>321</v>
      </c>
      <c r="E27" s="7" t="s">
        <v>322</v>
      </c>
      <c r="F27" s="7" t="s">
        <v>305</v>
      </c>
      <c r="G27" s="7" t="s">
        <v>300</v>
      </c>
      <c r="H27" s="7" t="s">
        <v>323</v>
      </c>
    </row>
    <row r="28" customFormat="false" ht="15" hidden="false" customHeight="false" outlineLevel="0" collapsed="false">
      <c r="A28" s="7" t="s">
        <v>324</v>
      </c>
      <c r="B28" s="7" t="s">
        <v>325</v>
      </c>
      <c r="C28" s="26" t="n">
        <v>6685</v>
      </c>
      <c r="D28" s="7" t="s">
        <v>326</v>
      </c>
      <c r="E28" s="7" t="s">
        <v>322</v>
      </c>
      <c r="F28" s="7" t="s">
        <v>305</v>
      </c>
      <c r="G28" s="7" t="s">
        <v>300</v>
      </c>
      <c r="H28" s="7" t="s">
        <v>327</v>
      </c>
    </row>
    <row r="29" customFormat="false" ht="15" hidden="false" customHeight="false" outlineLevel="0" collapsed="false">
      <c r="A29" s="7" t="s">
        <v>328</v>
      </c>
      <c r="B29" s="7" t="s">
        <v>329</v>
      </c>
      <c r="C29" s="29" t="n">
        <f aca="false">C28/C27</f>
        <v>0.369255413168361</v>
      </c>
      <c r="D29" s="7" t="s">
        <v>267</v>
      </c>
      <c r="E29" s="7" t="s">
        <v>263</v>
      </c>
      <c r="F29" s="7" t="s">
        <v>263</v>
      </c>
      <c r="G29" s="7" t="s">
        <v>300</v>
      </c>
      <c r="H29" s="7" t="s">
        <v>330</v>
      </c>
    </row>
    <row r="30" customFormat="false" ht="15" hidden="false" customHeight="false" outlineLevel="0" collapsed="false">
      <c r="A30" s="7" t="s">
        <v>331</v>
      </c>
      <c r="B30" s="7" t="s">
        <v>332</v>
      </c>
      <c r="C30" s="26" t="n">
        <v>18192</v>
      </c>
      <c r="D30" s="7" t="s">
        <v>321</v>
      </c>
      <c r="E30" s="7" t="s">
        <v>333</v>
      </c>
      <c r="F30" s="7" t="s">
        <v>334</v>
      </c>
      <c r="G30" s="7" t="s">
        <v>300</v>
      </c>
      <c r="H30" s="7"/>
    </row>
    <row r="31" customFormat="false" ht="15" hidden="false" customHeight="false" outlineLevel="0" collapsed="false">
      <c r="A31" s="7" t="s">
        <v>335</v>
      </c>
      <c r="B31" s="7" t="s">
        <v>336</v>
      </c>
      <c r="C31" s="26" t="n">
        <v>9342</v>
      </c>
      <c r="D31" s="7" t="s">
        <v>321</v>
      </c>
      <c r="E31" s="7" t="s">
        <v>337</v>
      </c>
      <c r="F31" s="7" t="s">
        <v>334</v>
      </c>
      <c r="G31" s="7" t="s">
        <v>300</v>
      </c>
      <c r="H31" s="7"/>
    </row>
    <row r="32" customFormat="false" ht="15" hidden="false" customHeight="false" outlineLevel="0" collapsed="false">
      <c r="A32" s="7" t="s">
        <v>338</v>
      </c>
      <c r="B32" s="7" t="s">
        <v>339</v>
      </c>
      <c r="C32" s="26" t="n">
        <v>8817</v>
      </c>
      <c r="D32" s="7" t="s">
        <v>321</v>
      </c>
      <c r="E32" s="7" t="s">
        <v>337</v>
      </c>
      <c r="F32" s="7" t="s">
        <v>334</v>
      </c>
      <c r="G32" s="7" t="s">
        <v>300</v>
      </c>
      <c r="H32" s="7"/>
    </row>
    <row r="33" customFormat="false" ht="15" hidden="false" customHeight="false" outlineLevel="0" collapsed="false">
      <c r="A33" s="7" t="s">
        <v>340</v>
      </c>
      <c r="B33" s="7" t="s">
        <v>341</v>
      </c>
      <c r="C33" s="31" t="n">
        <f aca="false">C30-C31-C32</f>
        <v>33</v>
      </c>
      <c r="D33" s="7" t="s">
        <v>321</v>
      </c>
      <c r="E33" s="7" t="s">
        <v>263</v>
      </c>
      <c r="F33" s="7" t="s">
        <v>263</v>
      </c>
      <c r="G33" s="7" t="s">
        <v>300</v>
      </c>
      <c r="H33" s="7" t="s">
        <v>342</v>
      </c>
    </row>
    <row r="34" customFormat="false" ht="15" hidden="false" customHeight="false" outlineLevel="0" collapsed="false">
      <c r="A34" s="7" t="s">
        <v>343</v>
      </c>
      <c r="B34" s="7" t="s">
        <v>344</v>
      </c>
      <c r="C34" s="26" t="n">
        <v>4113</v>
      </c>
      <c r="D34" s="7" t="s">
        <v>321</v>
      </c>
      <c r="E34" s="7" t="s">
        <v>345</v>
      </c>
      <c r="F34" s="7" t="s">
        <v>346</v>
      </c>
      <c r="G34" s="7" t="s">
        <v>300</v>
      </c>
      <c r="H34" s="7" t="s">
        <v>347</v>
      </c>
    </row>
    <row r="35" customFormat="false" ht="15" hidden="false" customHeight="false" outlineLevel="0" collapsed="false">
      <c r="A35" s="7" t="s">
        <v>348</v>
      </c>
      <c r="B35" s="7" t="s">
        <v>349</v>
      </c>
      <c r="C35" s="26" t="n">
        <v>1583</v>
      </c>
      <c r="D35" s="7" t="s">
        <v>321</v>
      </c>
      <c r="E35" s="7" t="s">
        <v>345</v>
      </c>
      <c r="F35" s="7" t="s">
        <v>346</v>
      </c>
      <c r="G35" s="7" t="s">
        <v>300</v>
      </c>
      <c r="H35" s="7"/>
    </row>
    <row r="36" customFormat="false" ht="15" hidden="false" customHeight="false" outlineLevel="0" collapsed="false">
      <c r="A36" s="7" t="s">
        <v>350</v>
      </c>
      <c r="B36" s="7" t="s">
        <v>351</v>
      </c>
      <c r="C36" s="26" t="n">
        <v>10700</v>
      </c>
      <c r="D36" s="7" t="s">
        <v>352</v>
      </c>
      <c r="E36" s="7" t="s">
        <v>304</v>
      </c>
      <c r="F36" s="7" t="s">
        <v>334</v>
      </c>
      <c r="G36" s="7" t="s">
        <v>300</v>
      </c>
      <c r="H36" s="7" t="s">
        <v>353</v>
      </c>
    </row>
    <row r="37" customFormat="false" ht="15" hidden="false" customHeight="false" outlineLevel="0" collapsed="false">
      <c r="A37" s="7" t="s">
        <v>354</v>
      </c>
      <c r="B37" s="7" t="s">
        <v>355</v>
      </c>
      <c r="C37" s="26" t="n">
        <v>1485</v>
      </c>
      <c r="D37" s="7" t="s">
        <v>321</v>
      </c>
      <c r="E37" s="7" t="s">
        <v>356</v>
      </c>
      <c r="F37" s="7" t="s">
        <v>334</v>
      </c>
      <c r="G37" s="7" t="s">
        <v>300</v>
      </c>
      <c r="H37" s="7" t="s">
        <v>357</v>
      </c>
    </row>
    <row r="38" customFormat="false" ht="15" hidden="false" customHeight="false" outlineLevel="0" collapsed="false">
      <c r="A38" s="7" t="s">
        <v>358</v>
      </c>
      <c r="B38" s="7" t="s">
        <v>359</v>
      </c>
      <c r="C38" s="27" t="n">
        <v>0.28</v>
      </c>
      <c r="D38" s="7" t="s">
        <v>267</v>
      </c>
      <c r="E38" s="7" t="s">
        <v>360</v>
      </c>
      <c r="F38" s="7" t="s">
        <v>334</v>
      </c>
      <c r="G38" s="7" t="s">
        <v>300</v>
      </c>
      <c r="H38" s="7"/>
    </row>
    <row r="39" customFormat="false" ht="15" hidden="false" customHeight="false" outlineLevel="0" collapsed="false">
      <c r="A39" s="7" t="s">
        <v>361</v>
      </c>
      <c r="B39" s="7" t="s">
        <v>362</v>
      </c>
      <c r="C39" s="31" t="n">
        <f aca="false">ROUND(C37*C38,0)</f>
        <v>416</v>
      </c>
      <c r="D39" s="7" t="s">
        <v>321</v>
      </c>
      <c r="E39" s="7" t="s">
        <v>263</v>
      </c>
      <c r="F39" s="7" t="s">
        <v>263</v>
      </c>
      <c r="G39" s="7" t="s">
        <v>300</v>
      </c>
      <c r="H39" s="7" t="s">
        <v>363</v>
      </c>
    </row>
    <row r="40" customFormat="false" ht="15" hidden="false" customHeight="false" outlineLevel="0" collapsed="false">
      <c r="A40" s="7" t="s">
        <v>364</v>
      </c>
      <c r="B40" s="7" t="s">
        <v>365</v>
      </c>
      <c r="C40" s="26" t="n">
        <v>193</v>
      </c>
      <c r="D40" s="7" t="s">
        <v>297</v>
      </c>
      <c r="E40" s="7" t="s">
        <v>366</v>
      </c>
      <c r="F40" s="7" t="s">
        <v>367</v>
      </c>
      <c r="G40" s="7" t="s">
        <v>300</v>
      </c>
      <c r="H40" s="7" t="s">
        <v>368</v>
      </c>
    </row>
    <row r="41" customFormat="false" ht="15" hidden="false" customHeight="false" outlineLevel="0" collapsed="false">
      <c r="A41" s="7" t="s">
        <v>369</v>
      </c>
      <c r="B41" s="7" t="s">
        <v>370</v>
      </c>
      <c r="C41" s="26" t="n">
        <v>137</v>
      </c>
      <c r="D41" s="7" t="s">
        <v>297</v>
      </c>
      <c r="E41" s="7" t="s">
        <v>366</v>
      </c>
      <c r="F41" s="7" t="s">
        <v>367</v>
      </c>
      <c r="G41" s="7" t="s">
        <v>300</v>
      </c>
      <c r="H41" s="7"/>
    </row>
    <row r="42" customFormat="false" ht="15" hidden="false" customHeight="false" outlineLevel="0" collapsed="false">
      <c r="A42" s="7" t="s">
        <v>371</v>
      </c>
      <c r="B42" s="7" t="s">
        <v>372</v>
      </c>
      <c r="C42" s="26" t="n">
        <v>1070</v>
      </c>
      <c r="D42" s="7" t="s">
        <v>297</v>
      </c>
      <c r="E42" s="7" t="s">
        <v>366</v>
      </c>
      <c r="F42" s="7" t="s">
        <v>367</v>
      </c>
      <c r="G42" s="7" t="s">
        <v>300</v>
      </c>
      <c r="H42" s="7"/>
    </row>
    <row r="43" customFormat="false" ht="15" hidden="false" customHeight="false" outlineLevel="0" collapsed="false">
      <c r="A43" s="7" t="s">
        <v>373</v>
      </c>
      <c r="B43" s="7" t="s">
        <v>374</v>
      </c>
      <c r="C43" s="29" t="n">
        <f aca="false">(C40+C41)/C42</f>
        <v>0.308411214953271</v>
      </c>
      <c r="D43" s="7" t="s">
        <v>267</v>
      </c>
      <c r="E43" s="7" t="s">
        <v>263</v>
      </c>
      <c r="F43" s="7" t="s">
        <v>263</v>
      </c>
      <c r="G43" s="7" t="s">
        <v>300</v>
      </c>
      <c r="H43" s="7" t="s">
        <v>375</v>
      </c>
    </row>
    <row r="44" customFormat="false" ht="23.85" hidden="false" customHeight="false" outlineLevel="0" collapsed="false">
      <c r="A44" s="7" t="s">
        <v>376</v>
      </c>
      <c r="B44" s="7" t="s">
        <v>377</v>
      </c>
      <c r="C44" s="27" t="n">
        <v>0.9</v>
      </c>
      <c r="D44" s="7" t="s">
        <v>378</v>
      </c>
      <c r="E44" s="7" t="s">
        <v>379</v>
      </c>
      <c r="F44" s="7" t="s">
        <v>299</v>
      </c>
      <c r="G44" s="7" t="s">
        <v>300</v>
      </c>
      <c r="H44" s="7" t="s">
        <v>380</v>
      </c>
    </row>
    <row r="45" customFormat="false" ht="15" hidden="false" customHeight="false" outlineLevel="0" collapsed="false">
      <c r="A45" s="24" t="s">
        <v>381</v>
      </c>
      <c r="B45" s="25"/>
      <c r="C45" s="25"/>
      <c r="D45" s="25"/>
      <c r="E45" s="25"/>
      <c r="F45" s="25"/>
      <c r="G45" s="25"/>
      <c r="H45" s="25"/>
    </row>
    <row r="46" customFormat="false" ht="15" hidden="false" customHeight="false" outlineLevel="0" collapsed="false">
      <c r="A46" s="7" t="s">
        <v>382</v>
      </c>
      <c r="B46" s="7" t="s">
        <v>383</v>
      </c>
      <c r="C46" s="26" t="n">
        <v>2224</v>
      </c>
      <c r="D46" s="7" t="s">
        <v>384</v>
      </c>
      <c r="E46" s="7" t="s">
        <v>385</v>
      </c>
      <c r="F46" s="7" t="s">
        <v>386</v>
      </c>
      <c r="G46" s="7" t="s">
        <v>387</v>
      </c>
      <c r="H46" s="7" t="s">
        <v>388</v>
      </c>
    </row>
    <row r="47" customFormat="false" ht="15" hidden="false" customHeight="false" outlineLevel="0" collapsed="false">
      <c r="A47" s="7" t="s">
        <v>389</v>
      </c>
      <c r="B47" s="7" t="s">
        <v>390</v>
      </c>
      <c r="C47" s="26" t="n">
        <v>14000000</v>
      </c>
      <c r="D47" s="7" t="s">
        <v>246</v>
      </c>
      <c r="E47" s="7" t="s">
        <v>391</v>
      </c>
      <c r="F47" s="7" t="s">
        <v>386</v>
      </c>
      <c r="G47" s="7" t="s">
        <v>392</v>
      </c>
      <c r="H47" s="7"/>
    </row>
    <row r="48" customFormat="false" ht="15" hidden="false" customHeight="false" outlineLevel="0" collapsed="false">
      <c r="A48" s="7" t="s">
        <v>393</v>
      </c>
      <c r="B48" s="7" t="s">
        <v>394</v>
      </c>
      <c r="C48" s="26" t="n">
        <v>19</v>
      </c>
      <c r="D48" s="7" t="s">
        <v>395</v>
      </c>
      <c r="E48" s="7" t="s">
        <v>396</v>
      </c>
      <c r="F48" s="7" t="s">
        <v>25</v>
      </c>
      <c r="G48" s="7" t="s">
        <v>387</v>
      </c>
      <c r="H48" s="7"/>
    </row>
    <row r="49" customFormat="false" ht="15" hidden="false" customHeight="false" outlineLevel="0" collapsed="false">
      <c r="A49" s="7" t="s">
        <v>397</v>
      </c>
      <c r="B49" s="7" t="s">
        <v>398</v>
      </c>
      <c r="C49" s="26" t="n">
        <v>7</v>
      </c>
      <c r="D49" s="7" t="s">
        <v>399</v>
      </c>
      <c r="E49" s="7" t="s">
        <v>396</v>
      </c>
      <c r="F49" s="7" t="s">
        <v>25</v>
      </c>
      <c r="G49" s="7" t="s">
        <v>387</v>
      </c>
      <c r="H49" s="7"/>
    </row>
    <row r="50" customFormat="false" ht="23.85" hidden="false" customHeight="false" outlineLevel="0" collapsed="false">
      <c r="A50" s="7" t="s">
        <v>400</v>
      </c>
      <c r="B50" s="7" t="s">
        <v>401</v>
      </c>
      <c r="C50" s="31" t="n">
        <f aca="false">C48+C49</f>
        <v>26</v>
      </c>
      <c r="D50" s="7" t="s">
        <v>297</v>
      </c>
      <c r="E50" s="7" t="s">
        <v>263</v>
      </c>
      <c r="F50" s="7" t="s">
        <v>263</v>
      </c>
      <c r="G50" s="7" t="s">
        <v>387</v>
      </c>
      <c r="H50" s="7" t="s">
        <v>402</v>
      </c>
    </row>
    <row r="51" customFormat="false" ht="15" hidden="false" customHeight="false" outlineLevel="0" collapsed="false">
      <c r="A51" s="7" t="s">
        <v>403</v>
      </c>
      <c r="B51" s="7" t="s">
        <v>404</v>
      </c>
      <c r="C51" s="26" t="n">
        <v>1901</v>
      </c>
      <c r="D51" s="7" t="s">
        <v>384</v>
      </c>
      <c r="E51" s="7" t="s">
        <v>405</v>
      </c>
      <c r="F51" s="7" t="s">
        <v>406</v>
      </c>
      <c r="G51" s="7" t="s">
        <v>392</v>
      </c>
      <c r="H51" s="7"/>
    </row>
    <row r="52" customFormat="false" ht="15" hidden="false" customHeight="false" outlineLevel="0" collapsed="false">
      <c r="A52" s="7" t="s">
        <v>407</v>
      </c>
      <c r="B52" s="7" t="s">
        <v>408</v>
      </c>
      <c r="C52" s="26" t="n">
        <v>2800</v>
      </c>
      <c r="D52" s="7" t="s">
        <v>384</v>
      </c>
      <c r="E52" s="7" t="s">
        <v>405</v>
      </c>
      <c r="F52" s="7" t="s">
        <v>406</v>
      </c>
      <c r="G52" s="7" t="s">
        <v>392</v>
      </c>
      <c r="H52" s="7"/>
    </row>
    <row r="53" customFormat="false" ht="15" hidden="false" customHeight="false" outlineLevel="0" collapsed="false">
      <c r="A53" s="7" t="s">
        <v>409</v>
      </c>
      <c r="B53" s="7" t="s">
        <v>410</v>
      </c>
      <c r="C53" s="29" t="n">
        <f aca="false">C51/C52</f>
        <v>0.678928571428571</v>
      </c>
      <c r="D53" s="7" t="s">
        <v>267</v>
      </c>
      <c r="E53" s="7" t="s">
        <v>263</v>
      </c>
      <c r="F53" s="7" t="s">
        <v>263</v>
      </c>
      <c r="G53" s="7" t="s">
        <v>392</v>
      </c>
      <c r="H53" s="7" t="s">
        <v>411</v>
      </c>
    </row>
    <row r="54" customFormat="false" ht="23.85" hidden="false" customHeight="false" outlineLevel="0" collapsed="false">
      <c r="A54" s="7" t="s">
        <v>412</v>
      </c>
      <c r="B54" s="7" t="s">
        <v>413</v>
      </c>
      <c r="C54" s="26" t="n">
        <v>31</v>
      </c>
      <c r="D54" s="7" t="s">
        <v>414</v>
      </c>
      <c r="E54" s="7" t="s">
        <v>415</v>
      </c>
      <c r="F54" s="7" t="s">
        <v>25</v>
      </c>
      <c r="G54" s="7" t="s">
        <v>387</v>
      </c>
      <c r="H54" s="7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417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418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13" t="s">
        <v>237</v>
      </c>
      <c r="B4" s="13" t="s">
        <v>10</v>
      </c>
      <c r="C4" s="13" t="s">
        <v>11</v>
      </c>
      <c r="D4" s="13" t="s">
        <v>238</v>
      </c>
      <c r="E4" s="13" t="s">
        <v>239</v>
      </c>
      <c r="F4" s="13" t="s">
        <v>240</v>
      </c>
      <c r="G4" s="13" t="s">
        <v>241</v>
      </c>
      <c r="H4" s="13" t="s">
        <v>242</v>
      </c>
    </row>
    <row r="5" customFormat="false" ht="15" hidden="false" customHeight="false" outlineLevel="0" collapsed="false">
      <c r="A5" s="24" t="s">
        <v>419</v>
      </c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7" t="s">
        <v>420</v>
      </c>
      <c r="B6" s="7" t="s">
        <v>421</v>
      </c>
      <c r="C6" s="27" t="n">
        <v>0.226</v>
      </c>
      <c r="D6" s="7" t="s">
        <v>422</v>
      </c>
      <c r="E6" s="7" t="s">
        <v>423</v>
      </c>
      <c r="F6" s="7" t="s">
        <v>424</v>
      </c>
      <c r="G6" s="7" t="s">
        <v>249</v>
      </c>
      <c r="H6" s="7" t="s">
        <v>425</v>
      </c>
    </row>
    <row r="7" customFormat="false" ht="15" hidden="false" customHeight="false" outlineLevel="0" collapsed="false">
      <c r="A7" s="7" t="s">
        <v>426</v>
      </c>
      <c r="B7" s="7" t="s">
        <v>427</v>
      </c>
      <c r="C7" s="27" t="n">
        <v>0.218</v>
      </c>
      <c r="D7" s="7" t="s">
        <v>422</v>
      </c>
      <c r="E7" s="7" t="s">
        <v>423</v>
      </c>
      <c r="F7" s="7" t="s">
        <v>428</v>
      </c>
      <c r="G7" s="7" t="s">
        <v>249</v>
      </c>
      <c r="H7" s="7"/>
    </row>
    <row r="8" customFormat="false" ht="15" hidden="false" customHeight="false" outlineLevel="0" collapsed="false">
      <c r="A8" s="7" t="s">
        <v>429</v>
      </c>
      <c r="B8" s="7" t="s">
        <v>430</v>
      </c>
      <c r="C8" s="27" t="n">
        <v>0.15</v>
      </c>
      <c r="D8" s="7" t="s">
        <v>422</v>
      </c>
      <c r="E8" s="7" t="s">
        <v>431</v>
      </c>
      <c r="F8" s="7" t="s">
        <v>428</v>
      </c>
      <c r="G8" s="7" t="s">
        <v>249</v>
      </c>
      <c r="H8" s="7" t="s">
        <v>432</v>
      </c>
    </row>
    <row r="9" customFormat="false" ht="15" hidden="false" customHeight="false" outlineLevel="0" collapsed="false">
      <c r="A9" s="7" t="s">
        <v>433</v>
      </c>
      <c r="B9" s="7" t="s">
        <v>434</v>
      </c>
      <c r="C9" s="28" t="n">
        <f aca="false">(C7-C8)*100</f>
        <v>6.8</v>
      </c>
      <c r="D9" s="7" t="s">
        <v>261</v>
      </c>
      <c r="E9" s="7" t="s">
        <v>263</v>
      </c>
      <c r="F9" s="7" t="s">
        <v>263</v>
      </c>
      <c r="G9" s="7" t="s">
        <v>255</v>
      </c>
      <c r="H9" s="7"/>
    </row>
    <row r="10" customFormat="false" ht="15" hidden="false" customHeight="false" outlineLevel="0" collapsed="false">
      <c r="A10" s="7" t="s">
        <v>435</v>
      </c>
      <c r="B10" s="7" t="s">
        <v>436</v>
      </c>
      <c r="C10" s="27" t="n">
        <v>0.29</v>
      </c>
      <c r="D10" s="7" t="s">
        <v>422</v>
      </c>
      <c r="E10" s="7" t="s">
        <v>437</v>
      </c>
      <c r="F10" s="7" t="s">
        <v>438</v>
      </c>
      <c r="G10" s="7" t="s">
        <v>255</v>
      </c>
      <c r="H10" s="7" t="s">
        <v>439</v>
      </c>
    </row>
    <row r="11" customFormat="false" ht="15" hidden="false" customHeight="false" outlineLevel="0" collapsed="false">
      <c r="A11" s="7" t="s">
        <v>440</v>
      </c>
      <c r="B11" s="7" t="s">
        <v>436</v>
      </c>
      <c r="C11" s="27" t="n">
        <v>0.21</v>
      </c>
      <c r="D11" s="7" t="s">
        <v>422</v>
      </c>
      <c r="E11" s="7" t="s">
        <v>423</v>
      </c>
      <c r="F11" s="7" t="s">
        <v>438</v>
      </c>
      <c r="G11" s="7" t="s">
        <v>255</v>
      </c>
      <c r="H11" s="7"/>
    </row>
    <row r="12" customFormat="false" ht="23.85" hidden="false" customHeight="false" outlineLevel="0" collapsed="false">
      <c r="A12" s="7" t="s">
        <v>441</v>
      </c>
      <c r="B12" s="7" t="s">
        <v>442</v>
      </c>
      <c r="C12" s="28" t="n">
        <f aca="false">(C11-C10)*100</f>
        <v>-8</v>
      </c>
      <c r="D12" s="7" t="s">
        <v>261</v>
      </c>
      <c r="E12" s="7" t="s">
        <v>263</v>
      </c>
      <c r="F12" s="7" t="s">
        <v>263</v>
      </c>
      <c r="G12" s="7" t="s">
        <v>255</v>
      </c>
      <c r="H12" s="7" t="s">
        <v>443</v>
      </c>
    </row>
    <row r="13" customFormat="false" ht="15" hidden="false" customHeight="false" outlineLevel="0" collapsed="false">
      <c r="A13" s="7" t="s">
        <v>444</v>
      </c>
      <c r="B13" s="7" t="s">
        <v>445</v>
      </c>
      <c r="C13" s="27" t="n">
        <v>0.194</v>
      </c>
      <c r="D13" s="7" t="s">
        <v>422</v>
      </c>
      <c r="E13" s="7" t="s">
        <v>423</v>
      </c>
      <c r="F13" s="7" t="s">
        <v>446</v>
      </c>
      <c r="G13" s="7" t="s">
        <v>255</v>
      </c>
      <c r="H13" s="7" t="s">
        <v>447</v>
      </c>
    </row>
    <row r="14" customFormat="false" ht="15" hidden="false" customHeight="false" outlineLevel="0" collapsed="false">
      <c r="A14" s="7" t="s">
        <v>448</v>
      </c>
      <c r="B14" s="7" t="s">
        <v>449</v>
      </c>
      <c r="C14" s="32" t="n">
        <v>0.1422</v>
      </c>
      <c r="D14" s="7" t="s">
        <v>422</v>
      </c>
      <c r="E14" s="7" t="s">
        <v>423</v>
      </c>
      <c r="F14" s="7" t="s">
        <v>450</v>
      </c>
      <c r="G14" s="7" t="s">
        <v>255</v>
      </c>
      <c r="H14" s="7" t="s">
        <v>451</v>
      </c>
    </row>
    <row r="15" customFormat="false" ht="15" hidden="false" customHeight="false" outlineLevel="0" collapsed="false">
      <c r="A15" s="7" t="s">
        <v>452</v>
      </c>
      <c r="B15" s="7" t="s">
        <v>453</v>
      </c>
      <c r="C15" s="32" t="n">
        <v>0.3213</v>
      </c>
      <c r="D15" s="7" t="s">
        <v>422</v>
      </c>
      <c r="E15" s="7" t="s">
        <v>423</v>
      </c>
      <c r="F15" s="7" t="s">
        <v>450</v>
      </c>
      <c r="G15" s="7" t="s">
        <v>255</v>
      </c>
      <c r="H15" s="7"/>
    </row>
    <row r="16" customFormat="false" ht="23.85" hidden="false" customHeight="false" outlineLevel="0" collapsed="false">
      <c r="A16" s="7" t="s">
        <v>454</v>
      </c>
      <c r="B16" s="7" t="s">
        <v>455</v>
      </c>
      <c r="C16" s="33" t="n">
        <f aca="false">C15/C14</f>
        <v>2.25949367088608</v>
      </c>
      <c r="D16" s="7" t="s">
        <v>456</v>
      </c>
      <c r="E16" s="7" t="s">
        <v>263</v>
      </c>
      <c r="F16" s="7" t="s">
        <v>263</v>
      </c>
      <c r="G16" s="7" t="s">
        <v>255</v>
      </c>
      <c r="H16" s="7" t="s">
        <v>457</v>
      </c>
    </row>
    <row r="17" customFormat="false" ht="15" hidden="false" customHeight="false" outlineLevel="0" collapsed="false">
      <c r="A17" s="7" t="s">
        <v>458</v>
      </c>
      <c r="B17" s="7" t="s">
        <v>459</v>
      </c>
      <c r="C17" s="27" t="n">
        <v>0.235</v>
      </c>
      <c r="D17" s="7" t="s">
        <v>422</v>
      </c>
      <c r="E17" s="7" t="s">
        <v>423</v>
      </c>
      <c r="F17" s="7" t="s">
        <v>450</v>
      </c>
      <c r="G17" s="7" t="s">
        <v>255</v>
      </c>
      <c r="H17" s="7"/>
    </row>
    <row r="18" customFormat="false" ht="15" hidden="false" customHeight="false" outlineLevel="0" collapsed="false">
      <c r="A18" s="7" t="s">
        <v>460</v>
      </c>
      <c r="B18" s="7" t="s">
        <v>461</v>
      </c>
      <c r="C18" s="32" t="n">
        <v>0.2092</v>
      </c>
      <c r="D18" s="7" t="s">
        <v>422</v>
      </c>
      <c r="E18" s="7" t="s">
        <v>423</v>
      </c>
      <c r="F18" s="7" t="s">
        <v>450</v>
      </c>
      <c r="G18" s="7" t="s">
        <v>255</v>
      </c>
      <c r="H18" s="7" t="s">
        <v>462</v>
      </c>
    </row>
    <row r="19" customFormat="false" ht="15" hidden="false" customHeight="false" outlineLevel="0" collapsed="false">
      <c r="A19" s="7" t="s">
        <v>463</v>
      </c>
      <c r="B19" s="7" t="s">
        <v>464</v>
      </c>
      <c r="C19" s="28" t="n">
        <f aca="false">(C18-C17)*100</f>
        <v>-2.58</v>
      </c>
      <c r="D19" s="7" t="s">
        <v>261</v>
      </c>
      <c r="E19" s="7" t="s">
        <v>263</v>
      </c>
      <c r="F19" s="7" t="s">
        <v>263</v>
      </c>
      <c r="G19" s="7" t="s">
        <v>255</v>
      </c>
      <c r="H19" s="7" t="s">
        <v>465</v>
      </c>
    </row>
    <row r="20" customFormat="false" ht="15" hidden="false" customHeight="false" outlineLevel="0" collapsed="false">
      <c r="A20" s="7" t="s">
        <v>466</v>
      </c>
      <c r="B20" s="7" t="s">
        <v>467</v>
      </c>
      <c r="C20" s="27" t="n">
        <v>0.484</v>
      </c>
      <c r="D20" s="7" t="s">
        <v>422</v>
      </c>
      <c r="E20" s="7" t="s">
        <v>423</v>
      </c>
      <c r="F20" s="7" t="s">
        <v>450</v>
      </c>
      <c r="G20" s="7" t="s">
        <v>255</v>
      </c>
      <c r="H20" s="7" t="s">
        <v>468</v>
      </c>
    </row>
    <row r="21" customFormat="false" ht="15" hidden="false" customHeight="false" outlineLevel="0" collapsed="false">
      <c r="A21" s="24" t="s">
        <v>469</v>
      </c>
      <c r="B21" s="25"/>
      <c r="C21" s="25"/>
      <c r="D21" s="25"/>
      <c r="E21" s="25"/>
      <c r="F21" s="25"/>
      <c r="G21" s="25"/>
      <c r="H21" s="25"/>
    </row>
    <row r="22" customFormat="false" ht="23.85" hidden="false" customHeight="false" outlineLevel="0" collapsed="false">
      <c r="A22" s="7" t="s">
        <v>470</v>
      </c>
      <c r="B22" s="7" t="s">
        <v>471</v>
      </c>
      <c r="C22" s="27" t="n">
        <v>0.19</v>
      </c>
      <c r="D22" s="7" t="s">
        <v>472</v>
      </c>
      <c r="E22" s="7" t="s">
        <v>473</v>
      </c>
      <c r="F22" s="7" t="s">
        <v>474</v>
      </c>
      <c r="G22" s="7" t="s">
        <v>475</v>
      </c>
      <c r="H22" s="7" t="s">
        <v>476</v>
      </c>
    </row>
    <row r="23" customFormat="false" ht="23.85" hidden="false" customHeight="false" outlineLevel="0" collapsed="false">
      <c r="A23" s="7" t="s">
        <v>477</v>
      </c>
      <c r="B23" s="7" t="s">
        <v>478</v>
      </c>
      <c r="C23" s="27" t="n">
        <v>0.25</v>
      </c>
      <c r="D23" s="7" t="s">
        <v>472</v>
      </c>
      <c r="E23" s="7" t="s">
        <v>479</v>
      </c>
      <c r="F23" s="7" t="s">
        <v>480</v>
      </c>
      <c r="G23" s="7" t="s">
        <v>475</v>
      </c>
      <c r="H23" s="7"/>
    </row>
    <row r="24" customFormat="false" ht="23.85" hidden="false" customHeight="false" outlineLevel="0" collapsed="false">
      <c r="A24" s="7" t="s">
        <v>481</v>
      </c>
      <c r="B24" s="7" t="s">
        <v>482</v>
      </c>
      <c r="C24" s="27" t="n">
        <v>0.16</v>
      </c>
      <c r="D24" s="7" t="s">
        <v>472</v>
      </c>
      <c r="E24" s="7" t="s">
        <v>479</v>
      </c>
      <c r="F24" s="7" t="s">
        <v>480</v>
      </c>
      <c r="G24" s="7" t="s">
        <v>475</v>
      </c>
      <c r="H24" s="7"/>
    </row>
    <row r="25" customFormat="false" ht="23.85" hidden="false" customHeight="false" outlineLevel="0" collapsed="false">
      <c r="A25" s="7" t="s">
        <v>483</v>
      </c>
      <c r="B25" s="7" t="s">
        <v>484</v>
      </c>
      <c r="C25" s="27" t="n">
        <v>0.27</v>
      </c>
      <c r="D25" s="7" t="s">
        <v>472</v>
      </c>
      <c r="E25" s="7" t="s">
        <v>479</v>
      </c>
      <c r="F25" s="7" t="s">
        <v>480</v>
      </c>
      <c r="G25" s="7" t="s">
        <v>475</v>
      </c>
      <c r="H25" s="7"/>
    </row>
    <row r="26" customFormat="false" ht="23.85" hidden="false" customHeight="false" outlineLevel="0" collapsed="false">
      <c r="A26" s="7" t="s">
        <v>485</v>
      </c>
      <c r="B26" s="7" t="s">
        <v>486</v>
      </c>
      <c r="C26" s="27" t="n">
        <v>0.28</v>
      </c>
      <c r="D26" s="7" t="s">
        <v>472</v>
      </c>
      <c r="E26" s="7" t="s">
        <v>479</v>
      </c>
      <c r="F26" s="7" t="s">
        <v>480</v>
      </c>
      <c r="G26" s="7" t="s">
        <v>475</v>
      </c>
      <c r="H26" s="7"/>
    </row>
    <row r="27" customFormat="false" ht="23.85" hidden="false" customHeight="false" outlineLevel="0" collapsed="false">
      <c r="A27" s="7" t="s">
        <v>487</v>
      </c>
      <c r="B27" s="7" t="s">
        <v>488</v>
      </c>
      <c r="C27" s="27" t="n">
        <v>0.11</v>
      </c>
      <c r="D27" s="7" t="s">
        <v>489</v>
      </c>
      <c r="E27" s="7" t="s">
        <v>479</v>
      </c>
      <c r="F27" s="7" t="s">
        <v>490</v>
      </c>
      <c r="G27" s="7" t="s">
        <v>475</v>
      </c>
      <c r="H27" s="7" t="s">
        <v>491</v>
      </c>
    </row>
    <row r="28" customFormat="false" ht="15" hidden="false" customHeight="false" outlineLevel="0" collapsed="false">
      <c r="A28" s="7" t="s">
        <v>492</v>
      </c>
      <c r="B28" s="7" t="s">
        <v>493</v>
      </c>
      <c r="C28" s="27" t="n">
        <v>0.05</v>
      </c>
      <c r="D28" s="7" t="s">
        <v>494</v>
      </c>
      <c r="E28" s="7" t="s">
        <v>495</v>
      </c>
      <c r="F28" s="7" t="s">
        <v>480</v>
      </c>
      <c r="G28" s="7" t="s">
        <v>475</v>
      </c>
      <c r="H28" s="7" t="s">
        <v>496</v>
      </c>
    </row>
    <row r="29" customFormat="false" ht="23.85" hidden="false" customHeight="false" outlineLevel="0" collapsed="false">
      <c r="A29" s="7" t="s">
        <v>497</v>
      </c>
      <c r="B29" s="7" t="s">
        <v>498</v>
      </c>
      <c r="C29" s="27" t="n">
        <v>0.35</v>
      </c>
      <c r="D29" s="7" t="s">
        <v>489</v>
      </c>
      <c r="E29" s="7" t="s">
        <v>499</v>
      </c>
      <c r="F29" s="7" t="s">
        <v>141</v>
      </c>
      <c r="G29" s="7" t="s">
        <v>475</v>
      </c>
      <c r="H29" s="7"/>
    </row>
    <row r="30" customFormat="false" ht="23.85" hidden="false" customHeight="false" outlineLevel="0" collapsed="false">
      <c r="A30" s="7" t="s">
        <v>500</v>
      </c>
      <c r="B30" s="7" t="s">
        <v>501</v>
      </c>
      <c r="C30" s="30" t="s">
        <v>285</v>
      </c>
      <c r="D30" s="7" t="s">
        <v>286</v>
      </c>
      <c r="E30" s="7" t="s">
        <v>502</v>
      </c>
      <c r="F30" s="7" t="s">
        <v>141</v>
      </c>
      <c r="G30" s="7" t="s">
        <v>249</v>
      </c>
      <c r="H30" s="7" t="s">
        <v>503</v>
      </c>
    </row>
    <row r="31" customFormat="false" ht="23.85" hidden="false" customHeight="false" outlineLevel="0" collapsed="false">
      <c r="A31" s="7" t="s">
        <v>504</v>
      </c>
      <c r="B31" s="7" t="s">
        <v>505</v>
      </c>
      <c r="C31" s="27" t="n">
        <v>0.15</v>
      </c>
      <c r="D31" s="7" t="s">
        <v>506</v>
      </c>
      <c r="E31" s="7" t="s">
        <v>507</v>
      </c>
      <c r="F31" s="7" t="s">
        <v>141</v>
      </c>
      <c r="G31" s="7" t="s">
        <v>475</v>
      </c>
      <c r="H31" s="7" t="s">
        <v>508</v>
      </c>
    </row>
    <row r="32" customFormat="false" ht="15" hidden="false" customHeight="false" outlineLevel="0" collapsed="false">
      <c r="A32" s="24" t="s">
        <v>509</v>
      </c>
      <c r="B32" s="25"/>
      <c r="C32" s="25"/>
      <c r="D32" s="25"/>
      <c r="E32" s="25"/>
      <c r="F32" s="25"/>
      <c r="G32" s="25"/>
      <c r="H32" s="25"/>
    </row>
    <row r="33" customFormat="false" ht="23.85" hidden="false" customHeight="false" outlineLevel="0" collapsed="false">
      <c r="A33" s="7" t="s">
        <v>510</v>
      </c>
      <c r="B33" s="7" t="s">
        <v>511</v>
      </c>
      <c r="C33" s="27" t="n">
        <v>0.98</v>
      </c>
      <c r="D33" s="7" t="s">
        <v>378</v>
      </c>
      <c r="E33" s="7" t="s">
        <v>512</v>
      </c>
      <c r="F33" s="7" t="s">
        <v>513</v>
      </c>
      <c r="G33" s="7" t="s">
        <v>514</v>
      </c>
      <c r="H33" s="7" t="s">
        <v>515</v>
      </c>
    </row>
    <row r="34" customFormat="false" ht="23.85" hidden="false" customHeight="false" outlineLevel="0" collapsed="false">
      <c r="A34" s="7" t="s">
        <v>516</v>
      </c>
      <c r="B34" s="7" t="s">
        <v>517</v>
      </c>
      <c r="C34" s="34" t="n">
        <v>100</v>
      </c>
      <c r="D34" s="7" t="s">
        <v>518</v>
      </c>
      <c r="E34" s="7" t="s">
        <v>512</v>
      </c>
      <c r="F34" s="7" t="s">
        <v>513</v>
      </c>
      <c r="G34" s="7" t="s">
        <v>514</v>
      </c>
      <c r="H34" s="7" t="s">
        <v>519</v>
      </c>
    </row>
    <row r="35" customFormat="false" ht="23.85" hidden="false" customHeight="false" outlineLevel="0" collapsed="false">
      <c r="A35" s="7" t="s">
        <v>520</v>
      </c>
      <c r="B35" s="7" t="s">
        <v>521</v>
      </c>
      <c r="C35" s="30" t="s">
        <v>522</v>
      </c>
      <c r="D35" s="7" t="s">
        <v>286</v>
      </c>
      <c r="E35" s="7" t="s">
        <v>512</v>
      </c>
      <c r="F35" s="7" t="s">
        <v>148</v>
      </c>
      <c r="G35" s="7" t="s">
        <v>514</v>
      </c>
      <c r="H35" s="7" t="s">
        <v>523</v>
      </c>
    </row>
    <row r="36" customFormat="false" ht="15" hidden="false" customHeight="false" outlineLevel="0" collapsed="false">
      <c r="A36" s="24" t="s">
        <v>524</v>
      </c>
      <c r="B36" s="25"/>
      <c r="C36" s="25"/>
      <c r="D36" s="25"/>
      <c r="E36" s="25"/>
      <c r="F36" s="25"/>
      <c r="G36" s="25"/>
      <c r="H36" s="25"/>
    </row>
    <row r="37" customFormat="false" ht="23.85" hidden="false" customHeight="false" outlineLevel="0" collapsed="false">
      <c r="A37" s="7" t="s">
        <v>525</v>
      </c>
      <c r="B37" s="7" t="s">
        <v>526</v>
      </c>
      <c r="C37" s="26" t="n">
        <v>200000</v>
      </c>
      <c r="D37" s="7" t="s">
        <v>527</v>
      </c>
      <c r="E37" s="7" t="s">
        <v>528</v>
      </c>
      <c r="F37" s="7" t="s">
        <v>529</v>
      </c>
      <c r="G37" s="7" t="s">
        <v>514</v>
      </c>
      <c r="H37" s="7" t="s">
        <v>530</v>
      </c>
    </row>
    <row r="38" customFormat="false" ht="15" hidden="false" customHeight="false" outlineLevel="0" collapsed="false">
      <c r="A38" s="7" t="s">
        <v>531</v>
      </c>
      <c r="B38" s="7" t="s">
        <v>532</v>
      </c>
      <c r="C38" s="26" t="n">
        <v>22</v>
      </c>
      <c r="D38" s="7" t="s">
        <v>246</v>
      </c>
      <c r="E38" s="7" t="s">
        <v>533</v>
      </c>
      <c r="F38" s="7" t="s">
        <v>529</v>
      </c>
      <c r="G38" s="7" t="s">
        <v>514</v>
      </c>
      <c r="H38" s="7"/>
    </row>
    <row r="39" customFormat="false" ht="23.85" hidden="false" customHeight="false" outlineLevel="0" collapsed="false">
      <c r="A39" s="7" t="s">
        <v>534</v>
      </c>
      <c r="B39" s="7" t="s">
        <v>535</v>
      </c>
      <c r="C39" s="30" t="s">
        <v>536</v>
      </c>
      <c r="D39" s="7" t="s">
        <v>286</v>
      </c>
      <c r="E39" s="7" t="s">
        <v>537</v>
      </c>
      <c r="F39" s="7" t="s">
        <v>538</v>
      </c>
      <c r="G39" s="7" t="s">
        <v>514</v>
      </c>
      <c r="H39" s="7" t="s">
        <v>539</v>
      </c>
    </row>
    <row r="40" customFormat="false" ht="23.85" hidden="false" customHeight="false" outlineLevel="0" collapsed="false">
      <c r="A40" s="7" t="s">
        <v>540</v>
      </c>
      <c r="B40" s="7" t="s">
        <v>541</v>
      </c>
      <c r="C40" s="30" t="s">
        <v>542</v>
      </c>
      <c r="D40" s="7" t="s">
        <v>286</v>
      </c>
      <c r="E40" s="7" t="s">
        <v>543</v>
      </c>
      <c r="F40" s="7" t="s">
        <v>544</v>
      </c>
      <c r="G40" s="7" t="s">
        <v>514</v>
      </c>
      <c r="H40" s="7" t="s">
        <v>545</v>
      </c>
    </row>
    <row r="41" customFormat="false" ht="23.85" hidden="false" customHeight="false" outlineLevel="0" collapsed="false">
      <c r="A41" s="7" t="s">
        <v>546</v>
      </c>
      <c r="B41" s="7" t="s">
        <v>547</v>
      </c>
      <c r="C41" s="30" t="s">
        <v>548</v>
      </c>
      <c r="D41" s="7" t="s">
        <v>286</v>
      </c>
      <c r="E41" s="7" t="s">
        <v>537</v>
      </c>
      <c r="F41" s="7" t="s">
        <v>156</v>
      </c>
      <c r="G41" s="7" t="s">
        <v>514</v>
      </c>
      <c r="H41" s="7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550</v>
      </c>
      <c r="B1" s="2"/>
      <c r="C1" s="2"/>
    </row>
    <row r="2" customFormat="false" ht="15" hidden="false" customHeight="false" outlineLevel="0" collapsed="false">
      <c r="A2" s="3" t="s">
        <v>551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3" t="s">
        <v>552</v>
      </c>
      <c r="B4" s="13" t="s">
        <v>11</v>
      </c>
      <c r="C4" s="13" t="s">
        <v>553</v>
      </c>
    </row>
    <row r="5" customFormat="false" ht="15" hidden="false" customHeight="false" outlineLevel="0" collapsed="false">
      <c r="A5" s="7" t="s">
        <v>554</v>
      </c>
      <c r="B5" s="35" t="n">
        <v>20</v>
      </c>
      <c r="C5" s="7" t="s">
        <v>555</v>
      </c>
    </row>
    <row r="6" customFormat="false" ht="15" hidden="false" customHeight="false" outlineLevel="0" collapsed="false">
      <c r="A6" s="7" t="s">
        <v>556</v>
      </c>
      <c r="B6" s="35" t="n">
        <v>6</v>
      </c>
      <c r="C6" s="7" t="s">
        <v>557</v>
      </c>
    </row>
    <row r="7" customFormat="false" ht="15" hidden="false" customHeight="false" outlineLevel="0" collapsed="false">
      <c r="A7" s="7" t="s">
        <v>558</v>
      </c>
      <c r="B7" s="35" t="n">
        <v>4</v>
      </c>
      <c r="C7" s="7" t="s">
        <v>559</v>
      </c>
    </row>
    <row r="8" customFormat="false" ht="15" hidden="false" customHeight="false" outlineLevel="0" collapsed="false">
      <c r="A8" s="7" t="s">
        <v>560</v>
      </c>
      <c r="B8" s="35" t="n">
        <v>185</v>
      </c>
      <c r="C8" s="7" t="s">
        <v>561</v>
      </c>
    </row>
    <row r="9" customFormat="false" ht="15" hidden="false" customHeight="false" outlineLevel="0" collapsed="false">
      <c r="A9" s="7" t="s">
        <v>562</v>
      </c>
      <c r="B9" s="36" t="n">
        <v>0.8</v>
      </c>
      <c r="C9" s="7" t="s">
        <v>563</v>
      </c>
    </row>
    <row r="10" customFormat="false" ht="15" hidden="false" customHeight="false" outlineLevel="0" collapsed="false">
      <c r="A10" s="37" t="s">
        <v>564</v>
      </c>
      <c r="B10" s="2"/>
      <c r="C10" s="2"/>
    </row>
    <row r="11" customFormat="false" ht="15" hidden="false" customHeight="false" outlineLevel="0" collapsed="false">
      <c r="A11" s="7" t="s">
        <v>565</v>
      </c>
      <c r="B11" s="38" t="n">
        <f aca="false">B5*B6</f>
        <v>120</v>
      </c>
      <c r="C11" s="7" t="s">
        <v>566</v>
      </c>
    </row>
    <row r="12" customFormat="false" ht="15" hidden="false" customHeight="false" outlineLevel="0" collapsed="false">
      <c r="A12" s="7" t="s">
        <v>567</v>
      </c>
      <c r="B12" s="38" t="n">
        <f aca="false">B11*B7</f>
        <v>480</v>
      </c>
      <c r="C12" s="7" t="s">
        <v>566</v>
      </c>
    </row>
    <row r="13" customFormat="false" ht="15" hidden="false" customHeight="false" outlineLevel="0" collapsed="false">
      <c r="A13" s="7" t="s">
        <v>568</v>
      </c>
      <c r="B13" s="38" t="n">
        <f aca="false">B12*B8/60</f>
        <v>1480</v>
      </c>
      <c r="C13" s="7" t="s">
        <v>566</v>
      </c>
    </row>
    <row r="14" customFormat="false" ht="15" hidden="false" customHeight="false" outlineLevel="0" collapsed="false">
      <c r="A14" s="7" t="s">
        <v>569</v>
      </c>
      <c r="B14" s="38" t="n">
        <f aca="false">B13*B9</f>
        <v>1184</v>
      </c>
      <c r="C14" s="7" t="s">
        <v>566</v>
      </c>
    </row>
    <row r="15" customFormat="false" ht="15" hidden="false" customHeight="false" outlineLevel="0" collapsed="false">
      <c r="A15" s="7" t="s">
        <v>570</v>
      </c>
      <c r="B15" s="39" t="n">
        <f aca="false">B14/8</f>
        <v>148</v>
      </c>
      <c r="C15" s="7" t="s">
        <v>566</v>
      </c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3" t="s">
        <v>571</v>
      </c>
      <c r="B17" s="2"/>
      <c r="C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572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573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3" t="s">
        <v>237</v>
      </c>
      <c r="B3" s="13" t="s">
        <v>574</v>
      </c>
      <c r="C3" s="13" t="s">
        <v>575</v>
      </c>
      <c r="D3" s="13" t="s">
        <v>576</v>
      </c>
      <c r="E3" s="13" t="s">
        <v>577</v>
      </c>
      <c r="F3" s="13" t="s">
        <v>578</v>
      </c>
    </row>
    <row r="4" customFormat="false" ht="23.85" hidden="false" customHeight="false" outlineLevel="0" collapsed="false">
      <c r="A4" s="7" t="s">
        <v>579</v>
      </c>
      <c r="B4" s="7" t="s">
        <v>580</v>
      </c>
      <c r="C4" s="7" t="s">
        <v>581</v>
      </c>
      <c r="D4" s="7" t="s">
        <v>582</v>
      </c>
      <c r="E4" s="40" t="s">
        <v>583</v>
      </c>
      <c r="F4" s="7" t="s">
        <v>584</v>
      </c>
    </row>
    <row r="5" customFormat="false" ht="23.85" hidden="false" customHeight="false" outlineLevel="0" collapsed="false">
      <c r="A5" s="7" t="s">
        <v>161</v>
      </c>
      <c r="B5" s="7" t="s">
        <v>585</v>
      </c>
      <c r="C5" s="7" t="s">
        <v>586</v>
      </c>
      <c r="D5" s="7" t="s">
        <v>587</v>
      </c>
      <c r="E5" s="40" t="s">
        <v>588</v>
      </c>
      <c r="F5" s="7" t="s">
        <v>589</v>
      </c>
    </row>
    <row r="6" customFormat="false" ht="23.85" hidden="false" customHeight="false" outlineLevel="0" collapsed="false">
      <c r="A6" s="7" t="s">
        <v>590</v>
      </c>
      <c r="B6" s="7" t="s">
        <v>591</v>
      </c>
      <c r="C6" s="7" t="s">
        <v>592</v>
      </c>
      <c r="D6" s="7" t="s">
        <v>593</v>
      </c>
      <c r="E6" s="40" t="s">
        <v>594</v>
      </c>
      <c r="F6" s="7" t="s">
        <v>595</v>
      </c>
    </row>
    <row r="7" customFormat="false" ht="15" hidden="false" customHeight="false" outlineLevel="0" collapsed="false">
      <c r="A7" s="7" t="s">
        <v>248</v>
      </c>
      <c r="B7" s="7" t="s">
        <v>596</v>
      </c>
      <c r="C7" s="7" t="s">
        <v>597</v>
      </c>
      <c r="D7" s="7" t="s">
        <v>593</v>
      </c>
      <c r="E7" s="40" t="s">
        <v>598</v>
      </c>
      <c r="F7" s="7" t="s">
        <v>599</v>
      </c>
    </row>
    <row r="8" customFormat="false" ht="15" hidden="false" customHeight="false" outlineLevel="0" collapsed="false">
      <c r="A8" s="7" t="s">
        <v>600</v>
      </c>
      <c r="B8" s="7" t="s">
        <v>601</v>
      </c>
      <c r="C8" s="7" t="s">
        <v>602</v>
      </c>
      <c r="D8" s="7" t="s">
        <v>593</v>
      </c>
      <c r="E8" s="40" t="s">
        <v>603</v>
      </c>
      <c r="F8" s="7" t="s">
        <v>604</v>
      </c>
    </row>
    <row r="9" customFormat="false" ht="23.85" hidden="false" customHeight="false" outlineLevel="0" collapsed="false">
      <c r="A9" s="7" t="s">
        <v>299</v>
      </c>
      <c r="B9" s="7" t="s">
        <v>605</v>
      </c>
      <c r="C9" s="7" t="s">
        <v>602</v>
      </c>
      <c r="D9" s="7" t="s">
        <v>593</v>
      </c>
      <c r="E9" s="40" t="s">
        <v>606</v>
      </c>
      <c r="F9" s="7" t="s">
        <v>607</v>
      </c>
    </row>
    <row r="10" customFormat="false" ht="23.85" hidden="false" customHeight="false" outlineLevel="0" collapsed="false">
      <c r="A10" s="7" t="s">
        <v>305</v>
      </c>
      <c r="B10" s="7" t="s">
        <v>608</v>
      </c>
      <c r="C10" s="7" t="s">
        <v>609</v>
      </c>
      <c r="D10" s="7" t="s">
        <v>610</v>
      </c>
      <c r="E10" s="40" t="s">
        <v>611</v>
      </c>
      <c r="F10" s="7" t="s">
        <v>612</v>
      </c>
    </row>
    <row r="11" customFormat="false" ht="23.85" hidden="false" customHeight="false" outlineLevel="0" collapsed="false">
      <c r="A11" s="7" t="s">
        <v>334</v>
      </c>
      <c r="B11" s="7" t="s">
        <v>613</v>
      </c>
      <c r="C11" s="7" t="s">
        <v>614</v>
      </c>
      <c r="D11" s="7" t="s">
        <v>593</v>
      </c>
      <c r="E11" s="40" t="s">
        <v>615</v>
      </c>
      <c r="F11" s="7" t="s">
        <v>616</v>
      </c>
    </row>
    <row r="12" customFormat="false" ht="23.85" hidden="false" customHeight="false" outlineLevel="0" collapsed="false">
      <c r="A12" s="7" t="s">
        <v>346</v>
      </c>
      <c r="B12" s="7" t="s">
        <v>617</v>
      </c>
      <c r="C12" s="7" t="s">
        <v>618</v>
      </c>
      <c r="D12" s="7" t="s">
        <v>593</v>
      </c>
      <c r="E12" s="40" t="s">
        <v>619</v>
      </c>
      <c r="F12" s="7" t="s">
        <v>620</v>
      </c>
    </row>
    <row r="13" customFormat="false" ht="23.85" hidden="false" customHeight="false" outlineLevel="0" collapsed="false">
      <c r="A13" s="7" t="s">
        <v>367</v>
      </c>
      <c r="B13" s="7" t="s">
        <v>621</v>
      </c>
      <c r="C13" s="7" t="s">
        <v>622</v>
      </c>
      <c r="D13" s="7" t="s">
        <v>593</v>
      </c>
      <c r="E13" s="40" t="s">
        <v>623</v>
      </c>
      <c r="F13" s="7" t="s">
        <v>624</v>
      </c>
    </row>
    <row r="14" customFormat="false" ht="23.85" hidden="false" customHeight="false" outlineLevel="0" collapsed="false">
      <c r="A14" s="7" t="s">
        <v>625</v>
      </c>
      <c r="B14" s="7" t="s">
        <v>626</v>
      </c>
      <c r="C14" s="7" t="s">
        <v>627</v>
      </c>
      <c r="D14" s="7" t="s">
        <v>628</v>
      </c>
      <c r="E14" s="40" t="s">
        <v>629</v>
      </c>
      <c r="F14" s="7" t="s">
        <v>630</v>
      </c>
    </row>
    <row r="15" customFormat="false" ht="23.85" hidden="false" customHeight="false" outlineLevel="0" collapsed="false">
      <c r="A15" s="7" t="s">
        <v>386</v>
      </c>
      <c r="B15" s="7" t="s">
        <v>631</v>
      </c>
      <c r="C15" s="7" t="s">
        <v>632</v>
      </c>
      <c r="D15" s="7" t="s">
        <v>593</v>
      </c>
      <c r="E15" s="40" t="s">
        <v>633</v>
      </c>
      <c r="F15" s="7" t="s">
        <v>634</v>
      </c>
    </row>
    <row r="16" customFormat="false" ht="23.85" hidden="false" customHeight="false" outlineLevel="0" collapsed="false">
      <c r="A16" s="7" t="s">
        <v>406</v>
      </c>
      <c r="B16" s="7" t="s">
        <v>635</v>
      </c>
      <c r="C16" s="7" t="s">
        <v>636</v>
      </c>
      <c r="D16" s="7" t="s">
        <v>593</v>
      </c>
      <c r="E16" s="40" t="s">
        <v>637</v>
      </c>
      <c r="F16" s="7" t="s">
        <v>638</v>
      </c>
    </row>
    <row r="17" customFormat="false" ht="23.85" hidden="false" customHeight="false" outlineLevel="0" collapsed="false">
      <c r="A17" s="7" t="s">
        <v>25</v>
      </c>
      <c r="B17" s="7" t="s">
        <v>639</v>
      </c>
      <c r="C17" s="7" t="s">
        <v>636</v>
      </c>
      <c r="D17" s="7" t="s">
        <v>593</v>
      </c>
      <c r="E17" s="40" t="s">
        <v>640</v>
      </c>
      <c r="F17" s="7" t="s">
        <v>641</v>
      </c>
    </row>
    <row r="18" customFormat="false" ht="35.05" hidden="false" customHeight="false" outlineLevel="0" collapsed="false">
      <c r="A18" s="7" t="s">
        <v>642</v>
      </c>
      <c r="B18" s="7" t="s">
        <v>643</v>
      </c>
      <c r="C18" s="7" t="s">
        <v>644</v>
      </c>
      <c r="D18" s="7" t="s">
        <v>645</v>
      </c>
      <c r="E18" s="40" t="s">
        <v>646</v>
      </c>
      <c r="F18" s="7" t="s">
        <v>647</v>
      </c>
    </row>
    <row r="19" customFormat="false" ht="23.85" hidden="false" customHeight="false" outlineLevel="0" collapsed="false">
      <c r="A19" s="7" t="s">
        <v>648</v>
      </c>
      <c r="B19" s="7" t="s">
        <v>649</v>
      </c>
      <c r="C19" s="7" t="s">
        <v>650</v>
      </c>
      <c r="D19" s="7" t="s">
        <v>651</v>
      </c>
      <c r="E19" s="40" t="s">
        <v>652</v>
      </c>
      <c r="F19" s="7" t="s">
        <v>653</v>
      </c>
    </row>
    <row r="20" customFormat="false" ht="23.85" hidden="false" customHeight="false" outlineLevel="0" collapsed="false">
      <c r="A20" s="7" t="s">
        <v>654</v>
      </c>
      <c r="B20" s="7" t="s">
        <v>655</v>
      </c>
      <c r="C20" s="7" t="s">
        <v>627</v>
      </c>
      <c r="D20" s="7" t="s">
        <v>628</v>
      </c>
      <c r="E20" s="40" t="s">
        <v>656</v>
      </c>
      <c r="F20" s="7" t="s">
        <v>657</v>
      </c>
    </row>
    <row r="21" customFormat="false" ht="23.85" hidden="false" customHeight="false" outlineLevel="0" collapsed="false">
      <c r="A21" s="7" t="s">
        <v>438</v>
      </c>
      <c r="B21" s="7" t="s">
        <v>658</v>
      </c>
      <c r="C21" s="7" t="s">
        <v>659</v>
      </c>
      <c r="D21" s="7" t="s">
        <v>587</v>
      </c>
      <c r="E21" s="40" t="s">
        <v>660</v>
      </c>
      <c r="F21" s="7" t="s">
        <v>661</v>
      </c>
    </row>
    <row r="22" customFormat="false" ht="23.85" hidden="false" customHeight="false" outlineLevel="0" collapsed="false">
      <c r="A22" s="7" t="s">
        <v>424</v>
      </c>
      <c r="B22" s="7" t="s">
        <v>662</v>
      </c>
      <c r="C22" s="7" t="s">
        <v>663</v>
      </c>
      <c r="D22" s="7" t="s">
        <v>587</v>
      </c>
      <c r="E22" s="40" t="s">
        <v>664</v>
      </c>
      <c r="F22" s="7" t="s">
        <v>665</v>
      </c>
    </row>
    <row r="23" customFormat="false" ht="15" hidden="false" customHeight="false" outlineLevel="0" collapsed="false">
      <c r="A23" s="7" t="s">
        <v>428</v>
      </c>
      <c r="B23" s="7" t="s">
        <v>666</v>
      </c>
      <c r="C23" s="7" t="s">
        <v>667</v>
      </c>
      <c r="D23" s="7" t="s">
        <v>668</v>
      </c>
      <c r="E23" s="40" t="s">
        <v>669</v>
      </c>
      <c r="F23" s="7" t="s">
        <v>670</v>
      </c>
    </row>
    <row r="24" customFormat="false" ht="23.85" hidden="false" customHeight="false" outlineLevel="0" collapsed="false">
      <c r="A24" s="7" t="s">
        <v>446</v>
      </c>
      <c r="B24" s="7" t="s">
        <v>671</v>
      </c>
      <c r="C24" s="7" t="s">
        <v>672</v>
      </c>
      <c r="D24" s="7" t="s">
        <v>673</v>
      </c>
      <c r="E24" s="40" t="s">
        <v>674</v>
      </c>
      <c r="F24" s="7" t="s">
        <v>675</v>
      </c>
    </row>
    <row r="25" customFormat="false" ht="15" hidden="false" customHeight="false" outlineLevel="0" collapsed="false">
      <c r="A25" s="7" t="s">
        <v>450</v>
      </c>
      <c r="B25" s="7" t="s">
        <v>676</v>
      </c>
      <c r="C25" s="7" t="s">
        <v>677</v>
      </c>
      <c r="D25" s="7" t="s">
        <v>678</v>
      </c>
      <c r="E25" s="40" t="s">
        <v>679</v>
      </c>
      <c r="F25" s="7" t="s">
        <v>680</v>
      </c>
    </row>
    <row r="26" customFormat="false" ht="23.85" hidden="false" customHeight="false" outlineLevel="0" collapsed="false">
      <c r="A26" s="7" t="s">
        <v>141</v>
      </c>
      <c r="B26" s="7" t="s">
        <v>681</v>
      </c>
      <c r="C26" s="7" t="s">
        <v>682</v>
      </c>
      <c r="D26" s="7" t="s">
        <v>673</v>
      </c>
      <c r="E26" s="40" t="s">
        <v>683</v>
      </c>
      <c r="F26" s="7" t="s">
        <v>684</v>
      </c>
    </row>
    <row r="27" customFormat="false" ht="23.85" hidden="false" customHeight="false" outlineLevel="0" collapsed="false">
      <c r="A27" s="7" t="s">
        <v>474</v>
      </c>
      <c r="B27" s="7" t="s">
        <v>685</v>
      </c>
      <c r="C27" s="7" t="s">
        <v>686</v>
      </c>
      <c r="D27" s="7" t="s">
        <v>687</v>
      </c>
      <c r="E27" s="40" t="s">
        <v>688</v>
      </c>
      <c r="F27" s="7" t="s">
        <v>689</v>
      </c>
    </row>
    <row r="28" customFormat="false" ht="23.85" hidden="false" customHeight="false" outlineLevel="0" collapsed="false">
      <c r="A28" s="7" t="s">
        <v>480</v>
      </c>
      <c r="B28" s="7" t="s">
        <v>690</v>
      </c>
      <c r="C28" s="7" t="s">
        <v>691</v>
      </c>
      <c r="D28" s="7" t="s">
        <v>593</v>
      </c>
      <c r="E28" s="40" t="s">
        <v>692</v>
      </c>
      <c r="F28" s="7" t="s">
        <v>693</v>
      </c>
    </row>
    <row r="29" customFormat="false" ht="23.85" hidden="false" customHeight="false" outlineLevel="0" collapsed="false">
      <c r="A29" s="7" t="s">
        <v>490</v>
      </c>
      <c r="B29" s="7" t="s">
        <v>694</v>
      </c>
      <c r="C29" s="7" t="s">
        <v>695</v>
      </c>
      <c r="D29" s="7" t="s">
        <v>687</v>
      </c>
      <c r="E29" s="40" t="s">
        <v>696</v>
      </c>
      <c r="F29" s="7" t="s">
        <v>697</v>
      </c>
    </row>
    <row r="30" customFormat="false" ht="23.85" hidden="false" customHeight="false" outlineLevel="0" collapsed="false">
      <c r="A30" s="7" t="s">
        <v>148</v>
      </c>
      <c r="B30" s="7" t="s">
        <v>698</v>
      </c>
      <c r="C30" s="7" t="s">
        <v>699</v>
      </c>
      <c r="D30" s="7" t="s">
        <v>700</v>
      </c>
      <c r="E30" s="40" t="s">
        <v>701</v>
      </c>
      <c r="F30" s="7" t="s">
        <v>702</v>
      </c>
    </row>
    <row r="31" customFormat="false" ht="23.85" hidden="false" customHeight="false" outlineLevel="0" collapsed="false">
      <c r="A31" s="7" t="s">
        <v>513</v>
      </c>
      <c r="B31" s="7" t="s">
        <v>703</v>
      </c>
      <c r="C31" s="7" t="s">
        <v>704</v>
      </c>
      <c r="D31" s="7" t="s">
        <v>705</v>
      </c>
      <c r="E31" s="40" t="s">
        <v>706</v>
      </c>
      <c r="F31" s="7" t="s">
        <v>707</v>
      </c>
    </row>
    <row r="32" customFormat="false" ht="23.85" hidden="false" customHeight="false" outlineLevel="0" collapsed="false">
      <c r="A32" s="7" t="s">
        <v>529</v>
      </c>
      <c r="B32" s="7" t="s">
        <v>708</v>
      </c>
      <c r="C32" s="7" t="s">
        <v>709</v>
      </c>
      <c r="D32" s="7" t="s">
        <v>582</v>
      </c>
      <c r="E32" s="40" t="s">
        <v>710</v>
      </c>
      <c r="F32" s="7" t="s">
        <v>711</v>
      </c>
    </row>
    <row r="33" customFormat="false" ht="23.85" hidden="false" customHeight="false" outlineLevel="0" collapsed="false">
      <c r="A33" s="7" t="s">
        <v>538</v>
      </c>
      <c r="B33" s="7" t="s">
        <v>712</v>
      </c>
      <c r="C33" s="7" t="s">
        <v>713</v>
      </c>
      <c r="D33" s="7" t="s">
        <v>651</v>
      </c>
      <c r="E33" s="40" t="s">
        <v>714</v>
      </c>
      <c r="F33" s="7" t="s">
        <v>715</v>
      </c>
    </row>
    <row r="34" customFormat="false" ht="23.85" hidden="false" customHeight="false" outlineLevel="0" collapsed="false">
      <c r="A34" s="7" t="s">
        <v>544</v>
      </c>
      <c r="B34" s="7" t="s">
        <v>716</v>
      </c>
      <c r="C34" s="7" t="s">
        <v>717</v>
      </c>
      <c r="D34" s="7" t="s">
        <v>582</v>
      </c>
      <c r="E34" s="40" t="s">
        <v>718</v>
      </c>
      <c r="F34" s="7" t="s">
        <v>719</v>
      </c>
    </row>
    <row r="35" customFormat="false" ht="23.85" hidden="false" customHeight="false" outlineLevel="0" collapsed="false">
      <c r="A35" s="7" t="s">
        <v>156</v>
      </c>
      <c r="B35" s="7" t="s">
        <v>720</v>
      </c>
      <c r="C35" s="7" t="s">
        <v>721</v>
      </c>
      <c r="D35" s="7" t="s">
        <v>610</v>
      </c>
      <c r="E35" s="40" t="s">
        <v>722</v>
      </c>
      <c r="F35" s="7" t="s">
        <v>723</v>
      </c>
    </row>
    <row r="36" customFormat="false" ht="23.85" hidden="false" customHeight="false" outlineLevel="0" collapsed="false">
      <c r="A36" s="7" t="s">
        <v>724</v>
      </c>
      <c r="B36" s="7" t="s">
        <v>725</v>
      </c>
      <c r="C36" s="7" t="s">
        <v>726</v>
      </c>
      <c r="D36" s="7" t="s">
        <v>593</v>
      </c>
      <c r="E36" s="40" t="s">
        <v>727</v>
      </c>
      <c r="F36" s="7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2026-10-06T14:42:13Z</dcterms:created>
  <dc:creator>openpyxl</dc:creator>
  <dc:description/>
  <dc:language>en-US</dc:language>
  <cp:lastModifiedBy/>
  <dcterms:modified xsi:type="dcterms:W3CDTF">2026-10-06T14:42:16Z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